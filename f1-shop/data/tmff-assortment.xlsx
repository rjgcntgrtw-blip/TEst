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Ассортимент" sheetId="1" state="visible" r:id="rId3"/>
    <sheet name="Параметры" sheetId="2" state="visible" r:id="rId4"/>
    <sheet name="Постеры — размеры" sheetId="3" state="visible" r:id="rId5"/>
    <sheet name="Варианты AliExpress" sheetId="4" state="visible" r:id="rId6"/>
    <sheet name="Что уточнить" sheetId="5" state="visible" r:id="rId7"/>
  </sheets>
  <definedNames>
    <definedName function="false" hidden="true" localSheetId="0" name="_xlnm._FilterDatabase" vbProcedure="false">Ассортимент!$A$4:$R$72</definedName>
    <definedName function="false" hidden="true" localSheetId="3" name="_xlnm._FilterDatabase" vbProcedure="false">'Варианты AliExpress'!$A$4:$K$61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42" authorId="0">
      <text>
        <r>
          <rPr>
            <sz val="10"/>
            <rFont val="Arial"/>
            <family val="2"/>
          </rPr>
          <t xml:space="preserve">Цена из выдачи aliexpress.com в $, пересчитана по курсу 84,2 ₽/$ (лист «Параметры»).</t>
        </r>
      </text>
    </comment>
    <comment ref="D43" authorId="0">
      <text>
        <r>
          <rPr>
            <sz val="10"/>
            <rFont val="Arial"/>
            <family val="2"/>
          </rPr>
          <t xml:space="preserve">Цена из выдачи aliexpress.com в $, пересчитана по курсу 84,2 ₽/$ (лист «Параметры»).</t>
        </r>
      </text>
    </comment>
    <comment ref="D44" authorId="0">
      <text>
        <r>
          <rPr>
            <sz val="10"/>
            <rFont val="Arial"/>
            <family val="2"/>
          </rPr>
          <t xml:space="preserve">Цена из выдачи aliexpress.com в $, пересчитана по курсу 84,2 ₽/$ (лист «Параметры»).</t>
        </r>
      </text>
    </comment>
    <comment ref="D45" authorId="0">
      <text>
        <r>
          <rPr>
            <sz val="10"/>
            <rFont val="Arial"/>
            <family val="2"/>
          </rPr>
          <t xml:space="preserve">Цена из выдачи aliexpress.com в $, пересчитана по курсу 84,2 ₽/$ (лист «Параметры»).</t>
        </r>
      </text>
    </comment>
    <comment ref="D46" authorId="0">
      <text>
        <r>
          <rPr>
            <sz val="10"/>
            <rFont val="Arial"/>
            <family val="2"/>
          </rPr>
          <t xml:space="preserve">Цена из выдачи aliexpress.com в $, пересчитана по курсу 84,2 ₽/$ (лист «Параметры»).</t>
        </r>
      </text>
    </comment>
    <comment ref="D47" authorId="0">
      <text>
        <r>
          <rPr>
            <sz val="10"/>
            <rFont val="Arial"/>
            <family val="2"/>
          </rPr>
          <t xml:space="preserve">Цена из выдачи aliexpress.com в $, пересчитана по курсу 84,2 ₽/$ (лист «Параметры»).</t>
        </r>
      </text>
    </comment>
    <comment ref="D48" authorId="0">
      <text>
        <r>
          <rPr>
            <sz val="10"/>
            <rFont val="Arial"/>
            <family val="2"/>
          </rPr>
          <t xml:space="preserve">Цена из выдачи aliexpress.com в $, пересчитана по курсу 84,2 ₽/$ (лист «Параметры»).</t>
        </r>
      </text>
    </comment>
    <comment ref="D49" authorId="0">
      <text>
        <r>
          <rPr>
            <sz val="10"/>
            <rFont val="Arial"/>
            <family val="2"/>
          </rPr>
          <t xml:space="preserve">Цена из выдачи aliexpress.com в $, пересчитана по курсу 84,2 ₽/$ (лист «Параметры»).</t>
        </r>
      </text>
    </comment>
    <comment ref="D50" authorId="0">
      <text>
        <r>
          <rPr>
            <sz val="10"/>
            <rFont val="Arial"/>
            <family val="2"/>
          </rPr>
          <t xml:space="preserve">Цена из выдачи aliexpress.com в $, пересчитана по курсу 84,2 ₽/$ (лист «Параметры»).</t>
        </r>
      </text>
    </comment>
    <comment ref="D51" authorId="0">
      <text>
        <r>
          <rPr>
            <sz val="10"/>
            <rFont val="Arial"/>
            <family val="2"/>
          </rPr>
          <t xml:space="preserve">Цена из выдачи aliexpress.com в $, пересчитана по курсу 84,2 ₽/$ (лист «Параметры»).</t>
        </r>
      </text>
    </comment>
  </commentList>
</comments>
</file>

<file path=xl/sharedStrings.xml><?xml version="1.0" encoding="utf-8"?>
<sst xmlns="http://schemas.openxmlformats.org/spreadsheetml/2006/main" count="1223" uniqueCount="367">
  <si>
    <t xml:space="preserve">TMFF — стартовый ассортимент</t>
  </si>
  <si>
    <t xml:space="preserve">Синим — данные AliExpress (варианты лотов собраны в Chrome 25.09.2026, конструкторы — из поиска aliexpress.com), чёрным — формулы, жёлтым — проверить. Цена — за товар, без платной доставки, если она есть.</t>
  </si>
  <si>
    <t xml:space="preserve">Повторы убраны: болид + пилот + ливрея + масштаб встречаются один раз, по самой низкой цене. Другие лоты с тем же вариантом — в «Запасной лот». «Вариант на Ali» — что выбрать при заказе.</t>
  </si>
  <si>
    <t xml:space="preserve">Раздел</t>
  </si>
  <si>
    <t xml:space="preserve">Название на сайте</t>
  </si>
  <si>
    <t xml:space="preserve">Масштаб</t>
  </si>
  <si>
    <t xml:space="preserve">Цена на Ali, ₽</t>
  </si>
  <si>
    <t xml:space="preserve">Наша цена, ₽</t>
  </si>
  <si>
    <t xml:space="preserve">Прибыль с шт., ₽</t>
  </si>
  <si>
    <t xml:space="preserve">Болид</t>
  </si>
  <si>
    <t xml:space="preserve">Пилот</t>
  </si>
  <si>
    <t xml:space="preserve">Ливрея / версия</t>
  </si>
  <si>
    <t xml:space="preserve">Год</t>
  </si>
  <si>
    <t xml:space="preserve">Заказов лота</t>
  </si>
  <si>
    <t xml:space="preserve">Рейтинг</t>
  </si>
  <si>
    <t xml:space="preserve">Лот</t>
  </si>
  <si>
    <t xml:space="preserve">Вариант на Ali</t>
  </si>
  <si>
    <t xml:space="preserve">Запасной лот · цена</t>
  </si>
  <si>
    <t xml:space="preserve">Повтор?</t>
  </si>
  <si>
    <t xml:space="preserve">Лимит 1:24</t>
  </si>
  <si>
    <t xml:space="preserve">Заметки и что проверить</t>
  </si>
  <si>
    <t xml:space="preserve">Модели 1:43 — сезон 2025</t>
  </si>
  <si>
    <t xml:space="preserve">Red Bull RB21 — Цунода #22, ГП Бахрейна</t>
  </si>
  <si>
    <t xml:space="preserve">1:43</t>
  </si>
  <si>
    <t xml:space="preserve">Red Bull RB21</t>
  </si>
  <si>
    <t xml:space="preserve">Цунода #22</t>
  </si>
  <si>
    <t xml:space="preserve">ГП Бахрейна</t>
  </si>
  <si>
    <t xml:space="preserve">открыть</t>
  </si>
  <si>
    <t xml:space="preserve">22-TSU-Bahrain</t>
  </si>
  <si>
    <t xml:space="preserve">755468 · 879 ₽</t>
  </si>
  <si>
    <t xml:space="preserve">Похоже на стандартную ливрею сезона — сверить по фото.</t>
  </si>
  <si>
    <t xml:space="preserve">Red Bull RB21 — Цунода #22, ГП Японии</t>
  </si>
  <si>
    <t xml:space="preserve">ГП Японии</t>
  </si>
  <si>
    <t xml:space="preserve">22-TSU-Japan</t>
  </si>
  <si>
    <t xml:space="preserve">Белая ливрея в честь Honda (Сузука 2025). Обычного варианта RB21 в лотах нет: «Бахрейн», скорее всего, и есть стандартная — сверить по фото.</t>
  </si>
  <si>
    <t xml:space="preserve">Red Bull RB21 — Ферстаппен #1, ГП Бахрейна</t>
  </si>
  <si>
    <t xml:space="preserve">Ферстаппен #1</t>
  </si>
  <si>
    <t xml:space="preserve">2025 RB21-1BHR</t>
  </si>
  <si>
    <t xml:space="preserve">Red Bull RB21 — Ферстаппен #1, ГП Японии</t>
  </si>
  <si>
    <t xml:space="preserve">1-VER-Japan</t>
  </si>
  <si>
    <t xml:space="preserve">Ferrari SF-25 — Хэмилтон #44</t>
  </si>
  <si>
    <t xml:space="preserve">Ferrari SF-25</t>
  </si>
  <si>
    <t xml:space="preserve">Хэмилтон #44</t>
  </si>
  <si>
    <t xml:space="preserve">стандартная</t>
  </si>
  <si>
    <t xml:space="preserve">2025 SF25-44</t>
  </si>
  <si>
    <t xml:space="preserve">Ferrari SF-25 — Хэмилтон #44, ГП Майами</t>
  </si>
  <si>
    <t xml:space="preserve">ГП Майами</t>
  </si>
  <si>
    <t xml:space="preserve">44-HAM-Miami</t>
  </si>
  <si>
    <t xml:space="preserve">Спецливрея Ferrari на Гран-при Майами.</t>
  </si>
  <si>
    <t xml:space="preserve">Ferrari SF-25 — Леклер #16</t>
  </si>
  <si>
    <t xml:space="preserve">Леклер #16</t>
  </si>
  <si>
    <t xml:space="preserve">16-LEC</t>
  </si>
  <si>
    <t xml:space="preserve">Ferrari SF-25 — Леклер #16, ГП Майами</t>
  </si>
  <si>
    <t xml:space="preserve">16-LEC-Miami</t>
  </si>
  <si>
    <t xml:space="preserve">Mercedes W16 — Антонелли #12</t>
  </si>
  <si>
    <t xml:space="preserve">Mercedes W16</t>
  </si>
  <si>
    <t xml:space="preserve">Антонелли #12</t>
  </si>
  <si>
    <t xml:space="preserve">2025 W16 E-12</t>
  </si>
  <si>
    <t xml:space="preserve">Mercedes W16 — Антонелли #12, ГП Великобритании</t>
  </si>
  <si>
    <t xml:space="preserve">ГП Великобритании</t>
  </si>
  <si>
    <t xml:space="preserve">2025 W16 E-12UK</t>
  </si>
  <si>
    <t xml:space="preserve">Чем отличается от стандартной — сверить по фото. Если ничем, строку убрать.</t>
  </si>
  <si>
    <t xml:space="preserve">Mercedes W16 — Рассел #63</t>
  </si>
  <si>
    <t xml:space="preserve">Рассел #63</t>
  </si>
  <si>
    <t xml:space="preserve">63-RUS-Australia</t>
  </si>
  <si>
    <t xml:space="preserve">В лоте вариант подписан «Австралия» — считаем стандартной ливреей, сверить по фото.</t>
  </si>
  <si>
    <t xml:space="preserve">Mercedes W16 — Рассел #63, ГП Великобритании</t>
  </si>
  <si>
    <t xml:space="preserve">63-RUS-Britain</t>
  </si>
  <si>
    <t xml:space="preserve">McLaren MCL39 — Норрис #4</t>
  </si>
  <si>
    <t xml:space="preserve">McLaren MCL39</t>
  </si>
  <si>
    <t xml:space="preserve">Норрис #4</t>
  </si>
  <si>
    <t xml:space="preserve">2025 MCL39-4</t>
  </si>
  <si>
    <t xml:space="preserve">McLaren MCL39 — Норрис #4, ГП Великобритании</t>
  </si>
  <si>
    <t xml:space="preserve">4-NOR-Britain</t>
  </si>
  <si>
    <t xml:space="preserve">McLaren MCL39 — Пиастри #81</t>
  </si>
  <si>
    <t xml:space="preserve">Пиастри #81</t>
  </si>
  <si>
    <t xml:space="preserve">81-PIA-Australia</t>
  </si>
  <si>
    <t xml:space="preserve">McLaren MCL39 — Пиастри #81, ГП Великобритании</t>
  </si>
  <si>
    <t xml:space="preserve">81-PIA-Britain</t>
  </si>
  <si>
    <t xml:space="preserve">Aston Martin AMR25 — Алонсо #14</t>
  </si>
  <si>
    <t xml:space="preserve">Aston Martin AMR25</t>
  </si>
  <si>
    <t xml:space="preserve">Алонсо #14</t>
  </si>
  <si>
    <t xml:space="preserve">2025 AMR25-14</t>
  </si>
  <si>
    <t xml:space="preserve">Aston Martin AMR25 — Стролл #18</t>
  </si>
  <si>
    <t xml:space="preserve">Стролл #18</t>
  </si>
  <si>
    <t xml:space="preserve">2025 AMR25-18</t>
  </si>
  <si>
    <t xml:space="preserve">Alpine A525 — Колапинто #43, ГП Монако</t>
  </si>
  <si>
    <t xml:space="preserve">Alpine A525</t>
  </si>
  <si>
    <t xml:space="preserve">Колапинто #43</t>
  </si>
  <si>
    <t xml:space="preserve">ГП Монако</t>
  </si>
  <si>
    <t xml:space="preserve">2025 A525-43MC</t>
  </si>
  <si>
    <t xml:space="preserve">Другой версии Alpine в лотах нет.</t>
  </si>
  <si>
    <t xml:space="preserve">Alpine A525 — Гасли #10, ГП Монако</t>
  </si>
  <si>
    <t xml:space="preserve">Гасли #10</t>
  </si>
  <si>
    <t xml:space="preserve">2025 A525-10MC</t>
  </si>
  <si>
    <t xml:space="preserve">Модели 1:43 — новинки 2026</t>
  </si>
  <si>
    <t xml:space="preserve">Ferrari SF-26 — Хэмилтон #44 · масштаб 1:43</t>
  </si>
  <si>
    <t xml:space="preserve">Ferrari SF-26</t>
  </si>
  <si>
    <t xml:space="preserve">2026 SF26-44</t>
  </si>
  <si>
    <t xml:space="preserve">Новинка 2026, оценок ещё нет. На сайте масштаб 1:43 — в названии: модель дороже сезона 2025.</t>
  </si>
  <si>
    <t xml:space="preserve">Ferrari SF-26 — Леклер #16 · масштаб 1:43</t>
  </si>
  <si>
    <t xml:space="preserve">2026 SF26-16</t>
  </si>
  <si>
    <t xml:space="preserve">Mercedes W17 — Антонелли #12 · масштаб 1:43</t>
  </si>
  <si>
    <t xml:space="preserve">Mercedes W17</t>
  </si>
  <si>
    <t xml:space="preserve">2026 W17-12</t>
  </si>
  <si>
    <t xml:space="preserve">Mercedes W17 — Рассел #63 · масштаб 1:43</t>
  </si>
  <si>
    <t xml:space="preserve">2026 W17-63</t>
  </si>
  <si>
    <t xml:space="preserve">Модели 1:24</t>
  </si>
  <si>
    <t xml:space="preserve">Red Bull RB19 — Ферстаппен #1, ГП США</t>
  </si>
  <si>
    <t xml:space="preserve">1:24</t>
  </si>
  <si>
    <t xml:space="preserve">Red Bull RB19</t>
  </si>
  <si>
    <t xml:space="preserve">ГП США</t>
  </si>
  <si>
    <t xml:space="preserve">1-24 2023 RB19-1USA</t>
  </si>
  <si>
    <t xml:space="preserve">Спецливрея RB19, придуманная фанатами (Остин 2023).</t>
  </si>
  <si>
    <t xml:space="preserve">Red Bull RB20 — Перес #11</t>
  </si>
  <si>
    <t xml:space="preserve">Red Bull RB20</t>
  </si>
  <si>
    <t xml:space="preserve">Перес #11</t>
  </si>
  <si>
    <t xml:space="preserve">1-24 2024 RB20-11</t>
  </si>
  <si>
    <t xml:space="preserve">502926 · 2409 ₽; 158416 · 2439 ₽</t>
  </si>
  <si>
    <t xml:space="preserve">Red Bull RB20 — Ферстаппен #1</t>
  </si>
  <si>
    <t xml:space="preserve">1-24 2024 RB20-1</t>
  </si>
  <si>
    <t xml:space="preserve">001375 · 2522 ₽; 158416 · 2659 ₽</t>
  </si>
  <si>
    <t xml:space="preserve">Ferrari SF-24 — Леклер #16</t>
  </si>
  <si>
    <t xml:space="preserve">Ferrari SF-24</t>
  </si>
  <si>
    <t xml:space="preserve">1-24 2024 SF24-16</t>
  </si>
  <si>
    <t xml:space="preserve">158416 · 2461 ₽; 001375 · 2542 ₽</t>
  </si>
  <si>
    <t xml:space="preserve">Ferrari SF-24 — Леклер #16, версия 161</t>
  </si>
  <si>
    <t xml:space="preserve">версия 161</t>
  </si>
  <si>
    <t xml:space="preserve">1-24 2024 SF24-161</t>
  </si>
  <si>
    <t xml:space="preserve">Вариант «SF24-161»: вероятно, спецверсия Леклера — сверить по фото. Если это обычный SF-24 #16, строку убрать.</t>
  </si>
  <si>
    <t xml:space="preserve">Ferrari SF-24 — Сайнс #55</t>
  </si>
  <si>
    <t xml:space="preserve">Сайнс #55</t>
  </si>
  <si>
    <t xml:space="preserve">1-24 2024 SF24-55</t>
  </si>
  <si>
    <t xml:space="preserve">Mercedes W15 — Хэмилтон #44</t>
  </si>
  <si>
    <t xml:space="preserve">Mercedes W15</t>
  </si>
  <si>
    <t xml:space="preserve">1-24 2024 W15-44</t>
  </si>
  <si>
    <t xml:space="preserve">502926 · 2611 ₽; 158416 · 2649 ₽</t>
  </si>
  <si>
    <t xml:space="preserve">Mercedes W15 — Рассел #63</t>
  </si>
  <si>
    <t xml:space="preserve">1-24 2024 W15-63</t>
  </si>
  <si>
    <t xml:space="preserve">McLaren MCL38 — Норрис #4, ГП Майами 2024</t>
  </si>
  <si>
    <t xml:space="preserve">McLaren MCL38</t>
  </si>
  <si>
    <t xml:space="preserve">ГП Майами 2024</t>
  </si>
  <si>
    <t xml:space="preserve">2024 MCL38-4</t>
  </si>
  <si>
    <t xml:space="preserve">Первая победа Норриса. Bburago 28040. Лот новый: 45 заказов, оценка 5.0.</t>
  </si>
  <si>
    <t xml:space="preserve">McLaren MCL38 — Пиастри #81</t>
  </si>
  <si>
    <t xml:space="preserve">1-24 2024 MCL38-81</t>
  </si>
  <si>
    <t xml:space="preserve">McLaren MCL38 — Пиастри #81, ГП Майами 2024</t>
  </si>
  <si>
    <t xml:space="preserve">2024 MCL38-81</t>
  </si>
  <si>
    <t xml:space="preserve">1-24 2025 AMR25-14</t>
  </si>
  <si>
    <t xml:space="preserve">1-24 2025 AMR25-18</t>
  </si>
  <si>
    <t xml:space="preserve">158416 · 2430 ₽; 001375 · 2522 ₽</t>
  </si>
  <si>
    <t xml:space="preserve">Конструкторы — лицензия CaDA</t>
  </si>
  <si>
    <t xml:space="preserve">CaDA BWT Alpine A525</t>
  </si>
  <si>
    <t xml:space="preserve">—</t>
  </si>
  <si>
    <t xml:space="preserve">CaDA</t>
  </si>
  <si>
    <t xml:space="preserve">проверить</t>
  </si>
  <si>
    <t xml:space="preserve">Официальная лицензия Alpine. Цена из $ по курсу. Вариант «с коробкой» и его цену не проверяли: в CSV из Chrome этого лота нет.</t>
  </si>
  <si>
    <t xml:space="preserve">CaDA Kick Sauber C44</t>
  </si>
  <si>
    <t xml:space="preserve">Kick Sauber C44</t>
  </si>
  <si>
    <t xml:space="preserve">Официальная лицензия Sauber. Вариант «с коробкой» и его цену не проверяли: в CSV из Chrome этого лота нет.</t>
  </si>
  <si>
    <t xml:space="preserve">CaDA Kick Sauber C44, 2 553 детали</t>
  </si>
  <si>
    <t xml:space="preserve">1:8</t>
  </si>
  <si>
    <t xml:space="preserve">Официальная лицензия Sauber. Проверить, что это набор 1:8 (C64010W). Вариант «с коробкой» и его цену не проверяли: в CSV из Chrome этого лота нет.</t>
  </si>
  <si>
    <t xml:space="preserve">Конструкторы — реплика</t>
  </si>
  <si>
    <t xml:space="preserve">Ferrari SF-24, 1 361 деталь — реплика</t>
  </si>
  <si>
    <t xml:space="preserve">реплика</t>
  </si>
  <si>
    <t xml:space="preserve">Лот с вариантами SF-24 / RB20. Запасной продавец: 3256812748054401 · 1 636 ₽, оценка 4.7. Вариант «с коробкой» и его цену не проверяли: в CSV из Chrome этого лота нет.</t>
  </si>
  <si>
    <t xml:space="preserve">Red Bull RB20, 1 639 деталей — реплика</t>
  </si>
  <si>
    <t xml:space="preserve">Тот же лот, вариант RB20. Вариант «с коробкой» и его цену не проверяли: в CSV из Chrome этого лота нет.</t>
  </si>
  <si>
    <t xml:space="preserve">McLaren MCL39, 1 675 деталей — реплика</t>
  </si>
  <si>
    <t xml:space="preserve">В лоте есть и SF-24 / RB20 — брать только MCL39. Вариант «с коробкой» и его цену не проверяли: в CSV из Chrome этого лота нет.</t>
  </si>
  <si>
    <t xml:space="preserve">Mercedes W14 E, 1 642 детали — реплика</t>
  </si>
  <si>
    <t xml:space="preserve">Mercedes W14</t>
  </si>
  <si>
    <t xml:space="preserve">Вариант «с коробкой» и его цену не проверяли: в CSV из Chrome этого лота нет.</t>
  </si>
  <si>
    <t xml:space="preserve">Ferrari SF-25, 1 915 деталей, хром — реплика</t>
  </si>
  <si>
    <t xml:space="preserve">Доработка SF-24 под SF-25. Вариант «с коробкой» и его цену не проверяли: в CSV из Chrome этого лота нет.</t>
  </si>
  <si>
    <t xml:space="preserve">Red Bull RB21 — Mould King MK6025</t>
  </si>
  <si>
    <t xml:space="preserve">Свой дизайн Mould King, ливрея без лицензии. Запасной продавец: 3256812310056041 · 4 699 ₽. Вариант «с коробкой» и его цену не проверяли: в CSV из Chrome этого лота нет.</t>
  </si>
  <si>
    <t xml:space="preserve">Aston Martin AMR25 — Mould King MK6022</t>
  </si>
  <si>
    <t xml:space="preserve">Свой дизайн Mould King, ливрея без лицензии. Вариант «с коробкой» и его цену не проверяли: в CSV из Chrome этого лота нет.</t>
  </si>
  <si>
    <t xml:space="preserve">Постеры</t>
  </si>
  <si>
    <t xml:space="preserve">Постер McLaren M23</t>
  </si>
  <si>
    <t xml:space="preserve">30×40 см</t>
  </si>
  <si>
    <t xml:space="preserve">McLaren M23</t>
  </si>
  <si>
    <t xml:space="preserve">SKU-1 / 30X40cm no frame</t>
  </si>
  <si>
    <t xml:space="preserve">Холст без рамки. Цены других размеров — лист «Постеры — размеры».</t>
  </si>
  <si>
    <t xml:space="preserve">Постер McLaren-Mercedes MP4-23</t>
  </si>
  <si>
    <t xml:space="preserve">McLaren-Mercedes MP4-23</t>
  </si>
  <si>
    <t xml:space="preserve">SKU-2 / 30X40cm no frame</t>
  </si>
  <si>
    <t xml:space="preserve">Постер McLaren MCL34</t>
  </si>
  <si>
    <t xml:space="preserve">McLaren MCL34</t>
  </si>
  <si>
    <t xml:space="preserve">SKU-3 / 30X40cm no frame</t>
  </si>
  <si>
    <t xml:space="preserve">Постер Lotus 98T</t>
  </si>
  <si>
    <t xml:space="preserve">Lotus 98T</t>
  </si>
  <si>
    <t xml:space="preserve">SKU-4 / 30X40cm no frame</t>
  </si>
  <si>
    <t xml:space="preserve">Постер Red Bull Racing RB16</t>
  </si>
  <si>
    <t xml:space="preserve">Red Bull Racing RB16</t>
  </si>
  <si>
    <t xml:space="preserve">SKU-5 / 30X40cm no frame</t>
  </si>
  <si>
    <t xml:space="preserve">Постер Lotus 99T</t>
  </si>
  <si>
    <t xml:space="preserve">Lotus 99T</t>
  </si>
  <si>
    <t xml:space="preserve">SKU-6 / 30X40cm no frame</t>
  </si>
  <si>
    <t xml:space="preserve">Постер Jordan 191</t>
  </si>
  <si>
    <t xml:space="preserve">Jordan 191</t>
  </si>
  <si>
    <t xml:space="preserve">SKU-7 / 30X40cm no frame</t>
  </si>
  <si>
    <t xml:space="preserve">Постер Mercedes AMG W10</t>
  </si>
  <si>
    <t xml:space="preserve">Mercedes AMG W10</t>
  </si>
  <si>
    <t xml:space="preserve">SKU-8 / 30X40cm no frame</t>
  </si>
  <si>
    <t xml:space="preserve">Постер McLaren MP4/5B</t>
  </si>
  <si>
    <t xml:space="preserve">McLaren MP4/5B</t>
  </si>
  <si>
    <t xml:space="preserve">SKU-9 / 30X40cm no frame</t>
  </si>
  <si>
    <t xml:space="preserve">Постер McLaren MP4/4</t>
  </si>
  <si>
    <t xml:space="preserve">McLaren MP4/4</t>
  </si>
  <si>
    <t xml:space="preserve">SKU-10 / 30X40cm no frame</t>
  </si>
  <si>
    <t xml:space="preserve">Постер McLaren MP4/6</t>
  </si>
  <si>
    <t xml:space="preserve">McLaren MP4/6</t>
  </si>
  <si>
    <t xml:space="preserve">SKU-11 / 30X40cm no frame</t>
  </si>
  <si>
    <t xml:space="preserve">Постер Brawn BGP001</t>
  </si>
  <si>
    <t xml:space="preserve">Brawn BGP001</t>
  </si>
  <si>
    <t xml:space="preserve">SKU-12 / 30X40cm no frame</t>
  </si>
  <si>
    <t xml:space="preserve">Постер Ferrari 643</t>
  </si>
  <si>
    <t xml:space="preserve">Ferrari 643</t>
  </si>
  <si>
    <t xml:space="preserve">SKU-13 / 30X40cm no frame</t>
  </si>
  <si>
    <t xml:space="preserve">Постер Renault R25</t>
  </si>
  <si>
    <t xml:space="preserve">Renault R25</t>
  </si>
  <si>
    <t xml:space="preserve">SKU-14 / 30X40cm no frame</t>
  </si>
  <si>
    <t xml:space="preserve">Постер Ferrari F2007</t>
  </si>
  <si>
    <t xml:space="preserve">Ferrari F2007</t>
  </si>
  <si>
    <t xml:space="preserve">SKU-15 / 30X40cm no frame</t>
  </si>
  <si>
    <t xml:space="preserve">Постер Toro Rosso STR3</t>
  </si>
  <si>
    <t xml:space="preserve">Toro Rosso STR3</t>
  </si>
  <si>
    <t xml:space="preserve">SKU-16 / 30X40cm no frame</t>
  </si>
  <si>
    <t xml:space="preserve">Постер Toro Rosso STR14</t>
  </si>
  <si>
    <t xml:space="preserve">Toro Rosso STR14</t>
  </si>
  <si>
    <t xml:space="preserve">SKU-17 / 30X40cm no frame</t>
  </si>
  <si>
    <t xml:space="preserve">Постер Ferrari 312T</t>
  </si>
  <si>
    <t xml:space="preserve">Ferrari 312T</t>
  </si>
  <si>
    <t xml:space="preserve">SKU-18 / 30X40cm no frame</t>
  </si>
  <si>
    <t xml:space="preserve">Постер Toleman TG184</t>
  </si>
  <si>
    <t xml:space="preserve">Toleman TG184</t>
  </si>
  <si>
    <t xml:space="preserve">SKU-19 / 30X40cm no frame</t>
  </si>
  <si>
    <t xml:space="preserve">Постер Red Bull Racing RB7</t>
  </si>
  <si>
    <t xml:space="preserve">Red Bull Racing RB7</t>
  </si>
  <si>
    <t xml:space="preserve">SKU-20 / 30X40cm no frame</t>
  </si>
  <si>
    <t xml:space="preserve">Постер Шумахер, Ferrari — японский стиль</t>
  </si>
  <si>
    <t xml:space="preserve">Шумахер, Ferrari — японский стиль</t>
  </si>
  <si>
    <t xml:space="preserve">SKU-21 / 30X40cm no frame</t>
  </si>
  <si>
    <t xml:space="preserve">Холст без рамки. Цены других размеров — лист «Постеры — размеры». На постере портрет Шумахера — изображение человека без его согласия: риск (ст. 152.1 ГК).</t>
  </si>
  <si>
    <t xml:space="preserve">Итого</t>
  </si>
  <si>
    <t xml:space="preserve">Позиций всего</t>
  </si>
  <si>
    <t xml:space="preserve">Повторов</t>
  </si>
  <si>
    <t xml:space="preserve">1:24 дороже лимита</t>
  </si>
  <si>
    <t xml:space="preserve">Средняя прибыль с шт., ₽</t>
  </si>
  <si>
    <t xml:space="preserve">Средняя прибыль, модели 1:43, ₽</t>
  </si>
  <si>
    <t xml:space="preserve">Средняя прибыль, модели 1:24, ₽</t>
  </si>
  <si>
    <t xml:space="preserve">Параметры расчёта</t>
  </si>
  <si>
    <t xml:space="preserve">Синие ячейки можно менять — цены и прибыль на листах «Ассортимент» и «Постеры — размеры» пересчитаются.</t>
  </si>
  <si>
    <t xml:space="preserve">Порог 1: закупка дешевле, ₽</t>
  </si>
  <si>
    <t xml:space="preserve">Правило наценки из f1-shop/01-business-model.md</t>
  </si>
  <si>
    <t xml:space="preserve">Наценка до порога 1, ×</t>
  </si>
  <si>
    <t xml:space="preserve">Дешёвые позиции: ×2</t>
  </si>
  <si>
    <t xml:space="preserve">Порог 2: закупка до, ₽</t>
  </si>
  <si>
    <t xml:space="preserve">Наценка между порогами, ×</t>
  </si>
  <si>
    <t xml:space="preserve">Средние позиции: ×1,6</t>
  </si>
  <si>
    <t xml:space="preserve">Наценка дороже порога 2, ×</t>
  </si>
  <si>
    <t xml:space="preserve">Дорогие позиции: ×1,35</t>
  </si>
  <si>
    <t xml:space="preserve">Эквайринг, доля</t>
  </si>
  <si>
    <t xml:space="preserve">ЮKassa, карта; по СБП меньше (f1-shop/03-payments.md)</t>
  </si>
  <si>
    <t xml:space="preserve">Налог УСН «Доходы», доля</t>
  </si>
  <si>
    <t xml:space="preserve">ИП на УСН 6 %</t>
  </si>
  <si>
    <t xml:space="preserve">Резерв на возвраты, доля</t>
  </si>
  <si>
    <t xml:space="preserve">f1-shop/01-business-model.md</t>
  </si>
  <si>
    <t xml:space="preserve">Лимит цены для 1:24, ₽</t>
  </si>
  <si>
    <t xml:space="preserve">Правило владельца магазина: 1:24 берём до 2 800 ₽</t>
  </si>
  <si>
    <t xml:space="preserve">Курс доллара, ₽</t>
  </si>
  <si>
    <t xml:space="preserve">ЦБ РФ на 20.09.2026 — для лотов с aliexpress.com (конструкторы)</t>
  </si>
  <si>
    <t xml:space="preserve">Постеры: цена по размерам</t>
  </si>
  <si>
    <t xml:space="preserve">Лот 1005005851892159: 21 дизайн, холст без рамки, цена одинакова для всех дизайнов. Оценка 4.4, 112 заказов. «На сайт» — какие размеры предлагать (по умолчанию 4 ходовых).</t>
  </si>
  <si>
    <t xml:space="preserve">Размер</t>
  </si>
  <si>
    <t xml:space="preserve">На сайт</t>
  </si>
  <si>
    <t xml:space="preserve">13×18 см</t>
  </si>
  <si>
    <t xml:space="preserve">15×20 см</t>
  </si>
  <si>
    <t xml:space="preserve">20×25 см</t>
  </si>
  <si>
    <t xml:space="preserve">20×30 см</t>
  </si>
  <si>
    <t xml:space="preserve">да</t>
  </si>
  <si>
    <t xml:space="preserve">40×50 см</t>
  </si>
  <si>
    <t xml:space="preserve">40×60 см</t>
  </si>
  <si>
    <t xml:space="preserve">50×70 см</t>
  </si>
  <si>
    <t xml:space="preserve">60×80 см</t>
  </si>
  <si>
    <t xml:space="preserve">60×90 см</t>
  </si>
  <si>
    <t xml:space="preserve">Дизайны</t>
  </si>
  <si>
    <t xml:space="preserve">SKU-1</t>
  </si>
  <si>
    <t xml:space="preserve">SKU-2</t>
  </si>
  <si>
    <t xml:space="preserve">SKU-3</t>
  </si>
  <si>
    <t xml:space="preserve">SKU-4</t>
  </si>
  <si>
    <t xml:space="preserve">SKU-5</t>
  </si>
  <si>
    <t xml:space="preserve">SKU-6</t>
  </si>
  <si>
    <t xml:space="preserve">SKU-7</t>
  </si>
  <si>
    <t xml:space="preserve">SKU-8</t>
  </si>
  <si>
    <t xml:space="preserve">SKU-9</t>
  </si>
  <si>
    <t xml:space="preserve">SKU-10</t>
  </si>
  <si>
    <t xml:space="preserve">SKU-11</t>
  </si>
  <si>
    <t xml:space="preserve">SKU-12</t>
  </si>
  <si>
    <t xml:space="preserve">SKU-13</t>
  </si>
  <si>
    <t xml:space="preserve">SKU-14</t>
  </si>
  <si>
    <t xml:space="preserve">SKU-15</t>
  </si>
  <si>
    <t xml:space="preserve">SKU-16</t>
  </si>
  <si>
    <t xml:space="preserve">SKU-17</t>
  </si>
  <si>
    <t xml:space="preserve">SKU-18</t>
  </si>
  <si>
    <t xml:space="preserve">SKU-19</t>
  </si>
  <si>
    <t xml:space="preserve">SKU-20</t>
  </si>
  <si>
    <t xml:space="preserve">SKU-21</t>
  </si>
  <si>
    <t xml:space="preserve">Schumacher / Ferrari (японский стиль)</t>
  </si>
  <si>
    <t xml:space="preserve">Все варианты моделей из лотов (CSV из Chrome, 25.09.2026)</t>
  </si>
  <si>
    <t xml:space="preserve">«В ассортименте» — вариант взят на лист «Ассортимент». «Дубль» — такой же есть дешевле или с бо́льшим числом заказов.</t>
  </si>
  <si>
    <t xml:space="preserve">Цена, ₽</t>
  </si>
  <si>
    <t xml:space="preserve">Заказов</t>
  </si>
  <si>
    <t xml:space="preserve">Статус</t>
  </si>
  <si>
    <t xml:space="preserve">1005010208916818</t>
  </si>
  <si>
    <t xml:space="preserve">4.9</t>
  </si>
  <si>
    <t xml:space="preserve">в ассортименте</t>
  </si>
  <si>
    <t xml:space="preserve">1005010208755468</t>
  </si>
  <si>
    <t xml:space="preserve">2025 SF25-16</t>
  </si>
  <si>
    <t xml:space="preserve">дубль: берём лот …916818 за 789 ₽</t>
  </si>
  <si>
    <t xml:space="preserve">2025 SF25-16 M</t>
  </si>
  <si>
    <t xml:space="preserve">2025 RB21-1JP</t>
  </si>
  <si>
    <t xml:space="preserve">2025 RB21-22JP</t>
  </si>
  <si>
    <t xml:space="preserve">2025 RB21-22BHR</t>
  </si>
  <si>
    <t xml:space="preserve">2025 W16 E-63</t>
  </si>
  <si>
    <t xml:space="preserve">2025 MCL39-81</t>
  </si>
  <si>
    <t xml:space="preserve">2025 MCL39-4UK</t>
  </si>
  <si>
    <t xml:space="preserve">2025 W16 E-63UK</t>
  </si>
  <si>
    <t xml:space="preserve">2025 MCL39-81UK</t>
  </si>
  <si>
    <t xml:space="preserve">1005013123378832</t>
  </si>
  <si>
    <t xml:space="preserve">нет оценок</t>
  </si>
  <si>
    <t xml:space="preserve">1005013034982313</t>
  </si>
  <si>
    <t xml:space="preserve">1005009397158416</t>
  </si>
  <si>
    <t xml:space="preserve">дубль: берём лот …502926 за 2409 ₽</t>
  </si>
  <si>
    <t xml:space="preserve">дубль: берём лот …001375 за 2312 ₽</t>
  </si>
  <si>
    <t xml:space="preserve">дубль: берём лот …001375 за 2509 ₽</t>
  </si>
  <si>
    <t xml:space="preserve">дубль: берём лот …502926 за 2401 ₽</t>
  </si>
  <si>
    <t xml:space="preserve">дубль: берём лот …502926 за 2421 ₽</t>
  </si>
  <si>
    <t xml:space="preserve">1005009081001375</t>
  </si>
  <si>
    <t xml:space="preserve">1005009085028182</t>
  </si>
  <si>
    <t xml:space="preserve">5.0</t>
  </si>
  <si>
    <t xml:space="preserve">1005010633502926</t>
  </si>
  <si>
    <t xml:space="preserve">Что осталось проверить</t>
  </si>
  <si>
    <t xml:space="preserve">Конструкторы CaDA (3 лота)</t>
  </si>
  <si>
    <t xml:space="preserve">Цена нужного варианта и есть ли коробка. У C44 1:8 — что это набор C64010W на 2 553 детали. В CSV из Chrome этих лотов нет, цены — из поиска aliexpress.com.</t>
  </si>
  <si>
    <t xml:space="preserve">Реплики конструкторов (7 лотов)</t>
  </si>
  <si>
    <t xml:space="preserve">Вариант «с коробкой» и его цена; фото коробки в отзывах: без логотипа LEGO, печать нормального качества.</t>
  </si>
  <si>
    <t xml:space="preserve">Ливрея «Австралия» (1:43)</t>
  </si>
  <si>
    <t xml:space="preserve">Пиастри #81 и Рассел #63 из лота 916818 подписаны «Австралия». Считаем их стандартной ливреей (первый этап сезона). Если на фото они отличаются от обычных, это отдельные версии, а стандартные есть в лоте 755468 за 879 ₽.</t>
  </si>
  <si>
    <t xml:space="preserve">Ливрея «Великобритания» (1:43)</t>
  </si>
  <si>
    <t xml:space="preserve">McLaren MCL39 и Mercedes W16: чем отличаются от стандартных. Если ничем — убрать строки.</t>
  </si>
  <si>
    <t xml:space="preserve">Red Bull RB21 (1:43)</t>
  </si>
  <si>
    <t xml:space="preserve">Обычного варианта нет: «Япония» — белая ливрея в честь Honda, «Бахрейн» — по-видимому, стандартная. Сверить по фото.</t>
  </si>
  <si>
    <t xml:space="preserve">Ferrari SF-24 «161» (1:24)</t>
  </si>
  <si>
    <t xml:space="preserve">Что за версия. Если это обычный Леклер #16 — строку убрать, он уже есть за 2 421 ₽.</t>
  </si>
  <si>
    <t xml:space="preserve">McLaren MCL38 (1:24)</t>
  </si>
  <si>
    <t xml:space="preserve">Норрис есть только в версии «Майами 2024», Пиастри — в двух: обычной и «Майами 2024». Проверить, что версии различаются.</t>
  </si>
  <si>
    <t xml:space="preserve">Производитель моделей</t>
  </si>
  <si>
    <t xml:space="preserve">Во всех лотах «с коробкой: не указано». По фото из отзывов проверить коробку и бренд (Bburago или копия) — от этого зависит пометка «Лицензия» на сайте.</t>
  </si>
  <si>
    <t xml:space="preserve">Доставка</t>
  </si>
  <si>
    <t xml:space="preserve">Цены в таблице — за товар. Если доставка в РФ платная, прибавить её к цене на Ali.</t>
  </si>
  <si>
    <t xml:space="preserve">Новинки 2026 (1:43)</t>
  </si>
  <si>
    <t xml:space="preserve">Оценок нет, 31–45 заказов. Сначала заказать по одной для проверки качества.</t>
  </si>
  <si>
    <t xml:space="preserve">Оценка лота 4.4 — ниже остальных; посмотреть фото печати в отзывах. Изображения болидов с логотипами команд без лицензии и портрет Шумахера — юридический риск, как у реплик (f1-shop/02-legal.md).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</si>
</sst>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0.0"/>
    <numFmt numFmtId="167" formatCode="#,##0\+"/>
    <numFmt numFmtId="168" formatCode="0.00"/>
    <numFmt numFmtId="169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1F24"/>
        <bgColor rgb="FF3333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1F2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aliexpress.ru/item/1005010208916818.html" TargetMode="External"/><Relationship Id="rId3" Type="http://schemas.openxmlformats.org/officeDocument/2006/relationships/hyperlink" Target="https://aliexpress.ru/item/1005010208916818.html" TargetMode="External"/><Relationship Id="rId4" Type="http://schemas.openxmlformats.org/officeDocument/2006/relationships/hyperlink" Target="https://aliexpress.ru/item/1005010208755468.html" TargetMode="External"/><Relationship Id="rId5" Type="http://schemas.openxmlformats.org/officeDocument/2006/relationships/hyperlink" Target="https://aliexpress.ru/item/1005010208916818.html" TargetMode="External"/><Relationship Id="rId6" Type="http://schemas.openxmlformats.org/officeDocument/2006/relationships/hyperlink" Target="https://aliexpress.ru/item/1005010208755468.html" TargetMode="External"/><Relationship Id="rId7" Type="http://schemas.openxmlformats.org/officeDocument/2006/relationships/hyperlink" Target="https://aliexpress.ru/item/1005010208916818.html" TargetMode="External"/><Relationship Id="rId8" Type="http://schemas.openxmlformats.org/officeDocument/2006/relationships/hyperlink" Target="https://aliexpress.ru/item/1005010208916818.html" TargetMode="External"/><Relationship Id="rId9" Type="http://schemas.openxmlformats.org/officeDocument/2006/relationships/hyperlink" Target="https://aliexpress.ru/item/1005010208916818.html" TargetMode="External"/><Relationship Id="rId10" Type="http://schemas.openxmlformats.org/officeDocument/2006/relationships/hyperlink" Target="https://aliexpress.ru/item/1005010208755468.html" TargetMode="External"/><Relationship Id="rId11" Type="http://schemas.openxmlformats.org/officeDocument/2006/relationships/hyperlink" Target="https://aliexpress.ru/item/1005010208755468.html" TargetMode="External"/><Relationship Id="rId12" Type="http://schemas.openxmlformats.org/officeDocument/2006/relationships/hyperlink" Target="https://aliexpress.ru/item/1005010208916818.html" TargetMode="External"/><Relationship Id="rId13" Type="http://schemas.openxmlformats.org/officeDocument/2006/relationships/hyperlink" Target="https://aliexpress.ru/item/1005010208916818.html" TargetMode="External"/><Relationship Id="rId14" Type="http://schemas.openxmlformats.org/officeDocument/2006/relationships/hyperlink" Target="https://aliexpress.ru/item/1005010208755468.html" TargetMode="External"/><Relationship Id="rId15" Type="http://schemas.openxmlformats.org/officeDocument/2006/relationships/hyperlink" Target="https://aliexpress.ru/item/1005010208916818.html" TargetMode="External"/><Relationship Id="rId16" Type="http://schemas.openxmlformats.org/officeDocument/2006/relationships/hyperlink" Target="https://aliexpress.ru/item/1005010208916818.html" TargetMode="External"/><Relationship Id="rId17" Type="http://schemas.openxmlformats.org/officeDocument/2006/relationships/hyperlink" Target="https://aliexpress.ru/item/1005010208916818.html" TargetMode="External"/><Relationship Id="rId18" Type="http://schemas.openxmlformats.org/officeDocument/2006/relationships/hyperlink" Target="https://aliexpress.ru/item/1005010208755468.html" TargetMode="External"/><Relationship Id="rId19" Type="http://schemas.openxmlformats.org/officeDocument/2006/relationships/hyperlink" Target="https://aliexpress.ru/item/1005010208755468.html" TargetMode="External"/><Relationship Id="rId20" Type="http://schemas.openxmlformats.org/officeDocument/2006/relationships/hyperlink" Target="https://aliexpress.ru/item/1005010208755468.html" TargetMode="External"/><Relationship Id="rId21" Type="http://schemas.openxmlformats.org/officeDocument/2006/relationships/hyperlink" Target="https://aliexpress.ru/item/1005010208755468.html" TargetMode="External"/><Relationship Id="rId22" Type="http://schemas.openxmlformats.org/officeDocument/2006/relationships/hyperlink" Target="https://aliexpress.ru/item/1005013123378832.html" TargetMode="External"/><Relationship Id="rId23" Type="http://schemas.openxmlformats.org/officeDocument/2006/relationships/hyperlink" Target="https://aliexpress.ru/item/1005013123378832.html" TargetMode="External"/><Relationship Id="rId24" Type="http://schemas.openxmlformats.org/officeDocument/2006/relationships/hyperlink" Target="https://aliexpress.ru/item/1005013034982313.html" TargetMode="External"/><Relationship Id="rId25" Type="http://schemas.openxmlformats.org/officeDocument/2006/relationships/hyperlink" Target="https://aliexpress.ru/item/1005013034982313.html" TargetMode="External"/><Relationship Id="rId26" Type="http://schemas.openxmlformats.org/officeDocument/2006/relationships/hyperlink" Target="https://aliexpress.ru/item/1005009397158416.html" TargetMode="External"/><Relationship Id="rId27" Type="http://schemas.openxmlformats.org/officeDocument/2006/relationships/hyperlink" Target="https://aliexpress.ru/item/1005009081001375.html" TargetMode="External"/><Relationship Id="rId28" Type="http://schemas.openxmlformats.org/officeDocument/2006/relationships/hyperlink" Target="https://aliexpress.ru/item/1005010633502926.html" TargetMode="External"/><Relationship Id="rId29" Type="http://schemas.openxmlformats.org/officeDocument/2006/relationships/hyperlink" Target="https://aliexpress.ru/item/1005010633502926.html" TargetMode="External"/><Relationship Id="rId30" Type="http://schemas.openxmlformats.org/officeDocument/2006/relationships/hyperlink" Target="https://aliexpress.ru/item/1005009397158416.html" TargetMode="External"/><Relationship Id="rId31" Type="http://schemas.openxmlformats.org/officeDocument/2006/relationships/hyperlink" Target="https://aliexpress.ru/item/1005010633502926.html" TargetMode="External"/><Relationship Id="rId32" Type="http://schemas.openxmlformats.org/officeDocument/2006/relationships/hyperlink" Target="https://aliexpress.ru/item/1005009081001375.html" TargetMode="External"/><Relationship Id="rId33" Type="http://schemas.openxmlformats.org/officeDocument/2006/relationships/hyperlink" Target="https://aliexpress.ru/item/1005009081001375.html" TargetMode="External"/><Relationship Id="rId34" Type="http://schemas.openxmlformats.org/officeDocument/2006/relationships/hyperlink" Target="https://aliexpress.ru/item/1005009085028182.html" TargetMode="External"/><Relationship Id="rId35" Type="http://schemas.openxmlformats.org/officeDocument/2006/relationships/hyperlink" Target="https://aliexpress.ru/item/1005009081001375.html" TargetMode="External"/><Relationship Id="rId36" Type="http://schemas.openxmlformats.org/officeDocument/2006/relationships/hyperlink" Target="https://aliexpress.ru/item/1005009085028182.html" TargetMode="External"/><Relationship Id="rId37" Type="http://schemas.openxmlformats.org/officeDocument/2006/relationships/hyperlink" Target="https://aliexpress.ru/item/1005010633502926.html" TargetMode="External"/><Relationship Id="rId38" Type="http://schemas.openxmlformats.org/officeDocument/2006/relationships/hyperlink" Target="https://aliexpress.ru/item/1005010633502926.html" TargetMode="External"/><Relationship Id="rId39" Type="http://schemas.openxmlformats.org/officeDocument/2006/relationships/hyperlink" Target="https://www.aliexpress.us/item/3256811986486740.html" TargetMode="External"/><Relationship Id="rId40" Type="http://schemas.openxmlformats.org/officeDocument/2006/relationships/hyperlink" Target="https://www.aliexpress.us/item/3256807694767657.html" TargetMode="External"/><Relationship Id="rId41" Type="http://schemas.openxmlformats.org/officeDocument/2006/relationships/hyperlink" Target="https://www.aliexpress.us/item/3256808365507427.html" TargetMode="External"/><Relationship Id="rId42" Type="http://schemas.openxmlformats.org/officeDocument/2006/relationships/hyperlink" Target="https://www.aliexpress.us/item/3256812796303924.html" TargetMode="External"/><Relationship Id="rId43" Type="http://schemas.openxmlformats.org/officeDocument/2006/relationships/hyperlink" Target="https://www.aliexpress.us/item/3256812796303924.html" TargetMode="External"/><Relationship Id="rId44" Type="http://schemas.openxmlformats.org/officeDocument/2006/relationships/hyperlink" Target="https://www.aliexpress.us/item/3256811400880844.html" TargetMode="External"/><Relationship Id="rId45" Type="http://schemas.openxmlformats.org/officeDocument/2006/relationships/hyperlink" Target="https://www.aliexpress.us/item/3256812921806170.html" TargetMode="External"/><Relationship Id="rId46" Type="http://schemas.openxmlformats.org/officeDocument/2006/relationships/hyperlink" Target="https://www.aliexpress.us/item/3256812682211506.html" TargetMode="External"/><Relationship Id="rId47" Type="http://schemas.openxmlformats.org/officeDocument/2006/relationships/hyperlink" Target="https://www.aliexpress.us/item/3256812605226634.html" TargetMode="External"/><Relationship Id="rId48" Type="http://schemas.openxmlformats.org/officeDocument/2006/relationships/hyperlink" Target="https://www.aliexpress.us/item/3256812956829803.html" TargetMode="External"/><Relationship Id="rId49" Type="http://schemas.openxmlformats.org/officeDocument/2006/relationships/hyperlink" Target="https://aliexpress.ru/item/1005005851892159.html" TargetMode="External"/><Relationship Id="rId50" Type="http://schemas.openxmlformats.org/officeDocument/2006/relationships/hyperlink" Target="https://aliexpress.ru/item/1005005851892159.html" TargetMode="External"/><Relationship Id="rId51" Type="http://schemas.openxmlformats.org/officeDocument/2006/relationships/hyperlink" Target="https://aliexpress.ru/item/1005005851892159.html" TargetMode="External"/><Relationship Id="rId52" Type="http://schemas.openxmlformats.org/officeDocument/2006/relationships/hyperlink" Target="https://aliexpress.ru/item/1005005851892159.html" TargetMode="External"/><Relationship Id="rId53" Type="http://schemas.openxmlformats.org/officeDocument/2006/relationships/hyperlink" Target="https://aliexpress.ru/item/1005005851892159.html" TargetMode="External"/><Relationship Id="rId54" Type="http://schemas.openxmlformats.org/officeDocument/2006/relationships/hyperlink" Target="https://aliexpress.ru/item/1005005851892159.html" TargetMode="External"/><Relationship Id="rId55" Type="http://schemas.openxmlformats.org/officeDocument/2006/relationships/hyperlink" Target="https://aliexpress.ru/item/1005005851892159.html" TargetMode="External"/><Relationship Id="rId56" Type="http://schemas.openxmlformats.org/officeDocument/2006/relationships/hyperlink" Target="https://aliexpress.ru/item/1005005851892159.html" TargetMode="External"/><Relationship Id="rId57" Type="http://schemas.openxmlformats.org/officeDocument/2006/relationships/hyperlink" Target="https://aliexpress.ru/item/1005005851892159.html" TargetMode="External"/><Relationship Id="rId58" Type="http://schemas.openxmlformats.org/officeDocument/2006/relationships/hyperlink" Target="https://aliexpress.ru/item/1005005851892159.html" TargetMode="External"/><Relationship Id="rId59" Type="http://schemas.openxmlformats.org/officeDocument/2006/relationships/hyperlink" Target="https://aliexpress.ru/item/1005005851892159.html" TargetMode="External"/><Relationship Id="rId60" Type="http://schemas.openxmlformats.org/officeDocument/2006/relationships/hyperlink" Target="https://aliexpress.ru/item/1005005851892159.html" TargetMode="External"/><Relationship Id="rId61" Type="http://schemas.openxmlformats.org/officeDocument/2006/relationships/hyperlink" Target="https://aliexpress.ru/item/1005005851892159.html" TargetMode="External"/><Relationship Id="rId62" Type="http://schemas.openxmlformats.org/officeDocument/2006/relationships/hyperlink" Target="https://aliexpress.ru/item/1005005851892159.html" TargetMode="External"/><Relationship Id="rId63" Type="http://schemas.openxmlformats.org/officeDocument/2006/relationships/hyperlink" Target="https://aliexpress.ru/item/1005005851892159.html" TargetMode="External"/><Relationship Id="rId64" Type="http://schemas.openxmlformats.org/officeDocument/2006/relationships/hyperlink" Target="https://aliexpress.ru/item/1005005851892159.html" TargetMode="External"/><Relationship Id="rId65" Type="http://schemas.openxmlformats.org/officeDocument/2006/relationships/hyperlink" Target="https://aliexpress.ru/item/1005005851892159.html" TargetMode="External"/><Relationship Id="rId66" Type="http://schemas.openxmlformats.org/officeDocument/2006/relationships/hyperlink" Target="https://aliexpress.ru/item/1005005851892159.html" TargetMode="External"/><Relationship Id="rId67" Type="http://schemas.openxmlformats.org/officeDocument/2006/relationships/hyperlink" Target="https://aliexpress.ru/item/1005005851892159.html" TargetMode="External"/><Relationship Id="rId68" Type="http://schemas.openxmlformats.org/officeDocument/2006/relationships/hyperlink" Target="https://aliexpress.ru/item/1005005851892159.html" TargetMode="External"/><Relationship Id="rId69" Type="http://schemas.openxmlformats.org/officeDocument/2006/relationships/hyperlink" Target="https://aliexpress.ru/item/1005005851892159.html" TargetMode="External"/><Relationship Id="rId70" Type="http://schemas.openxmlformats.org/officeDocument/2006/relationships/drawing" Target="../drawings/drawing1.xml"/><Relationship Id="rId71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aliexpress.ru/item/1005010208916818.html" TargetMode="External"/><Relationship Id="rId2" Type="http://schemas.openxmlformats.org/officeDocument/2006/relationships/hyperlink" Target="https://aliexpress.ru/item/1005010208916818.html" TargetMode="External"/><Relationship Id="rId3" Type="http://schemas.openxmlformats.org/officeDocument/2006/relationships/hyperlink" Target="https://aliexpress.ru/item/1005010208916818.html" TargetMode="External"/><Relationship Id="rId4" Type="http://schemas.openxmlformats.org/officeDocument/2006/relationships/hyperlink" Target="https://aliexpress.ru/item/1005010208916818.html" TargetMode="External"/><Relationship Id="rId5" Type="http://schemas.openxmlformats.org/officeDocument/2006/relationships/hyperlink" Target="https://aliexpress.ru/item/1005010208916818.html" TargetMode="External"/><Relationship Id="rId6" Type="http://schemas.openxmlformats.org/officeDocument/2006/relationships/hyperlink" Target="https://aliexpress.ru/item/1005010208916818.html" TargetMode="External"/><Relationship Id="rId7" Type="http://schemas.openxmlformats.org/officeDocument/2006/relationships/hyperlink" Target="https://aliexpress.ru/item/1005010208916818.html" TargetMode="External"/><Relationship Id="rId8" Type="http://schemas.openxmlformats.org/officeDocument/2006/relationships/hyperlink" Target="https://aliexpress.ru/item/1005010208916818.html" TargetMode="External"/><Relationship Id="rId9" Type="http://schemas.openxmlformats.org/officeDocument/2006/relationships/hyperlink" Target="https://aliexpress.ru/item/1005010208916818.html" TargetMode="External"/><Relationship Id="rId10" Type="http://schemas.openxmlformats.org/officeDocument/2006/relationships/hyperlink" Target="https://aliexpress.ru/item/1005010208916818.html" TargetMode="External"/><Relationship Id="rId11" Type="http://schemas.openxmlformats.org/officeDocument/2006/relationships/hyperlink" Target="https://aliexpress.ru/item/1005010208916818.html" TargetMode="External"/><Relationship Id="rId12" Type="http://schemas.openxmlformats.org/officeDocument/2006/relationships/hyperlink" Target="https://aliexpress.ru/item/1005010208755468.html" TargetMode="External"/><Relationship Id="rId13" Type="http://schemas.openxmlformats.org/officeDocument/2006/relationships/hyperlink" Target="https://aliexpress.ru/item/1005010208755468.html" TargetMode="External"/><Relationship Id="rId14" Type="http://schemas.openxmlformats.org/officeDocument/2006/relationships/hyperlink" Target="https://aliexpress.ru/item/1005010208755468.html" TargetMode="External"/><Relationship Id="rId15" Type="http://schemas.openxmlformats.org/officeDocument/2006/relationships/hyperlink" Target="https://aliexpress.ru/item/1005010208755468.html" TargetMode="External"/><Relationship Id="rId16" Type="http://schemas.openxmlformats.org/officeDocument/2006/relationships/hyperlink" Target="https://aliexpress.ru/item/1005010208755468.html" TargetMode="External"/><Relationship Id="rId17" Type="http://schemas.openxmlformats.org/officeDocument/2006/relationships/hyperlink" Target="https://aliexpress.ru/item/1005010208755468.html" TargetMode="External"/><Relationship Id="rId18" Type="http://schemas.openxmlformats.org/officeDocument/2006/relationships/hyperlink" Target="https://aliexpress.ru/item/1005010208755468.html" TargetMode="External"/><Relationship Id="rId19" Type="http://schemas.openxmlformats.org/officeDocument/2006/relationships/hyperlink" Target="https://aliexpress.ru/item/1005010208755468.html" TargetMode="External"/><Relationship Id="rId20" Type="http://schemas.openxmlformats.org/officeDocument/2006/relationships/hyperlink" Target="https://aliexpress.ru/item/1005010208755468.html" TargetMode="External"/><Relationship Id="rId21" Type="http://schemas.openxmlformats.org/officeDocument/2006/relationships/hyperlink" Target="https://aliexpress.ru/item/1005010208755468.html" TargetMode="External"/><Relationship Id="rId22" Type="http://schemas.openxmlformats.org/officeDocument/2006/relationships/hyperlink" Target="https://aliexpress.ru/item/1005010208755468.html" TargetMode="External"/><Relationship Id="rId23" Type="http://schemas.openxmlformats.org/officeDocument/2006/relationships/hyperlink" Target="https://aliexpress.ru/item/1005010208755468.html" TargetMode="External"/><Relationship Id="rId24" Type="http://schemas.openxmlformats.org/officeDocument/2006/relationships/hyperlink" Target="https://aliexpress.ru/item/1005010208755468.html" TargetMode="External"/><Relationship Id="rId25" Type="http://schemas.openxmlformats.org/officeDocument/2006/relationships/hyperlink" Target="https://aliexpress.ru/item/1005010208755468.html" TargetMode="External"/><Relationship Id="rId26" Type="http://schemas.openxmlformats.org/officeDocument/2006/relationships/hyperlink" Target="https://aliexpress.ru/item/1005010208755468.html" TargetMode="External"/><Relationship Id="rId27" Type="http://schemas.openxmlformats.org/officeDocument/2006/relationships/hyperlink" Target="https://aliexpress.ru/item/1005010208755468.html" TargetMode="External"/><Relationship Id="rId28" Type="http://schemas.openxmlformats.org/officeDocument/2006/relationships/hyperlink" Target="https://aliexpress.ru/item/1005010208755468.html" TargetMode="External"/><Relationship Id="rId29" Type="http://schemas.openxmlformats.org/officeDocument/2006/relationships/hyperlink" Target="https://aliexpress.ru/item/1005010208755468.html" TargetMode="External"/><Relationship Id="rId30" Type="http://schemas.openxmlformats.org/officeDocument/2006/relationships/hyperlink" Target="https://aliexpress.ru/item/1005010208755468.html" TargetMode="External"/><Relationship Id="rId31" Type="http://schemas.openxmlformats.org/officeDocument/2006/relationships/hyperlink" Target="https://aliexpress.ru/item/1005013123378832.html" TargetMode="External"/><Relationship Id="rId32" Type="http://schemas.openxmlformats.org/officeDocument/2006/relationships/hyperlink" Target="https://aliexpress.ru/item/1005013123378832.html" TargetMode="External"/><Relationship Id="rId33" Type="http://schemas.openxmlformats.org/officeDocument/2006/relationships/hyperlink" Target="https://aliexpress.ru/item/1005013034982313.html" TargetMode="External"/><Relationship Id="rId34" Type="http://schemas.openxmlformats.org/officeDocument/2006/relationships/hyperlink" Target="https://aliexpress.ru/item/1005013034982313.html" TargetMode="External"/><Relationship Id="rId35" Type="http://schemas.openxmlformats.org/officeDocument/2006/relationships/hyperlink" Target="https://aliexpress.ru/item/1005009397158416.html" TargetMode="External"/><Relationship Id="rId36" Type="http://schemas.openxmlformats.org/officeDocument/2006/relationships/hyperlink" Target="https://aliexpress.ru/item/1005009397158416.html" TargetMode="External"/><Relationship Id="rId37" Type="http://schemas.openxmlformats.org/officeDocument/2006/relationships/hyperlink" Target="https://aliexpress.ru/item/1005009397158416.html" TargetMode="External"/><Relationship Id="rId38" Type="http://schemas.openxmlformats.org/officeDocument/2006/relationships/hyperlink" Target="https://aliexpress.ru/item/1005009397158416.html" TargetMode="External"/><Relationship Id="rId39" Type="http://schemas.openxmlformats.org/officeDocument/2006/relationships/hyperlink" Target="https://aliexpress.ru/item/1005009397158416.html" TargetMode="External"/><Relationship Id="rId40" Type="http://schemas.openxmlformats.org/officeDocument/2006/relationships/hyperlink" Target="https://aliexpress.ru/item/1005009397158416.html" TargetMode="External"/><Relationship Id="rId41" Type="http://schemas.openxmlformats.org/officeDocument/2006/relationships/hyperlink" Target="https://aliexpress.ru/item/1005009397158416.html" TargetMode="External"/><Relationship Id="rId42" Type="http://schemas.openxmlformats.org/officeDocument/2006/relationships/hyperlink" Target="https://aliexpress.ru/item/1005009081001375.html" TargetMode="External"/><Relationship Id="rId43" Type="http://schemas.openxmlformats.org/officeDocument/2006/relationships/hyperlink" Target="https://aliexpress.ru/item/1005009081001375.html" TargetMode="External"/><Relationship Id="rId44" Type="http://schemas.openxmlformats.org/officeDocument/2006/relationships/hyperlink" Target="https://aliexpress.ru/item/1005009081001375.html" TargetMode="External"/><Relationship Id="rId45" Type="http://schemas.openxmlformats.org/officeDocument/2006/relationships/hyperlink" Target="https://aliexpress.ru/item/1005009081001375.html" TargetMode="External"/><Relationship Id="rId46" Type="http://schemas.openxmlformats.org/officeDocument/2006/relationships/hyperlink" Target="https://aliexpress.ru/item/1005009081001375.html" TargetMode="External"/><Relationship Id="rId47" Type="http://schemas.openxmlformats.org/officeDocument/2006/relationships/hyperlink" Target="https://aliexpress.ru/item/1005009081001375.html" TargetMode="External"/><Relationship Id="rId48" Type="http://schemas.openxmlformats.org/officeDocument/2006/relationships/hyperlink" Target="https://aliexpress.ru/item/1005009081001375.html" TargetMode="External"/><Relationship Id="rId49" Type="http://schemas.openxmlformats.org/officeDocument/2006/relationships/hyperlink" Target="https://aliexpress.ru/item/1005009085028182.html" TargetMode="External"/><Relationship Id="rId50" Type="http://schemas.openxmlformats.org/officeDocument/2006/relationships/hyperlink" Target="https://aliexpress.ru/item/1005009085028182.html" TargetMode="External"/><Relationship Id="rId51" Type="http://schemas.openxmlformats.org/officeDocument/2006/relationships/hyperlink" Target="https://aliexpress.ru/item/1005010633502926.html" TargetMode="External"/><Relationship Id="rId52" Type="http://schemas.openxmlformats.org/officeDocument/2006/relationships/hyperlink" Target="https://aliexpress.ru/item/1005010633502926.html" TargetMode="External"/><Relationship Id="rId53" Type="http://schemas.openxmlformats.org/officeDocument/2006/relationships/hyperlink" Target="https://aliexpress.ru/item/1005010633502926.html" TargetMode="External"/><Relationship Id="rId54" Type="http://schemas.openxmlformats.org/officeDocument/2006/relationships/hyperlink" Target="https://aliexpress.ru/item/1005010633502926.html" TargetMode="External"/><Relationship Id="rId55" Type="http://schemas.openxmlformats.org/officeDocument/2006/relationships/hyperlink" Target="https://aliexpress.ru/item/1005010633502926.html" TargetMode="External"/><Relationship Id="rId56" Type="http://schemas.openxmlformats.org/officeDocument/2006/relationships/hyperlink" Target="https://aliexpress.ru/item/1005010633502926.html" TargetMode="External"/><Relationship Id="rId57" Type="http://schemas.openxmlformats.org/officeDocument/2006/relationships/hyperlink" Target="https://aliexpress.ru/item/1005010633502926.html" TargetMode="External"/><Relationship Id="rId58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4"/>
    <col collapsed="false" customWidth="true" hidden="false" outlineLevel="0" max="3" min="3" style="0" width="9"/>
    <col collapsed="false" customWidth="true" hidden="false" outlineLevel="0" max="6" min="4" style="0" width="11"/>
    <col collapsed="false" customWidth="true" hidden="false" outlineLevel="0" max="7" min="7" style="0" width="20"/>
    <col collapsed="false" customWidth="true" hidden="false" outlineLevel="0" max="8" min="8" style="0" width="15"/>
    <col collapsed="false" customWidth="true" hidden="false" outlineLevel="0" max="9" min="9" style="0" width="17"/>
    <col collapsed="false" customWidth="true" hidden="false" outlineLevel="0" max="10" min="10" style="0" width="6"/>
    <col collapsed="false" customWidth="true" hidden="false" outlineLevel="0" max="11" min="11" style="0" width="9"/>
    <col collapsed="false" customWidth="true" hidden="false" outlineLevel="0" max="12" min="12" style="0" width="8"/>
    <col collapsed="false" customWidth="true" hidden="false" outlineLevel="0" max="13" min="13" style="0" width="9"/>
    <col collapsed="false" customWidth="true" hidden="false" outlineLevel="0" max="15" min="14" style="0" width="17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30" hidden="false" customHeight="true" outlineLevel="0" collapsed="false">
      <c r="A4" s="3" t="s">
        <v>3</v>
      </c>
      <c r="B4" s="3" t="s">
        <v>4</v>
      </c>
      <c r="C4" s="3" t="s">
        <v>5</v>
      </c>
      <c r="D4" s="3" t="s">
        <v>6</v>
      </c>
      <c r="E4" s="3" t="s">
        <v>7</v>
      </c>
      <c r="F4" s="3" t="s">
        <v>8</v>
      </c>
      <c r="G4" s="3" t="s">
        <v>9</v>
      </c>
      <c r="H4" s="3" t="s">
        <v>10</v>
      </c>
      <c r="I4" s="3" t="s">
        <v>11</v>
      </c>
      <c r="J4" s="3" t="s">
        <v>12</v>
      </c>
      <c r="K4" s="3" t="s">
        <v>13</v>
      </c>
      <c r="L4" s="3" t="s">
        <v>14</v>
      </c>
      <c r="M4" s="3" t="s">
        <v>15</v>
      </c>
      <c r="N4" s="3" t="s">
        <v>16</v>
      </c>
      <c r="O4" s="3" t="s">
        <v>17</v>
      </c>
      <c r="P4" s="3" t="s">
        <v>18</v>
      </c>
      <c r="Q4" s="3" t="s">
        <v>19</v>
      </c>
      <c r="R4" s="3" t="s">
        <v>20</v>
      </c>
    </row>
    <row r="5" customFormat="false" ht="15" hidden="false" customHeight="false" outlineLevel="0" collapsed="false">
      <c r="A5" s="4" t="s">
        <v>21</v>
      </c>
      <c r="B5" s="5" t="s">
        <v>22</v>
      </c>
      <c r="C5" s="6" t="s">
        <v>23</v>
      </c>
      <c r="D5" s="7" t="n">
        <v>789</v>
      </c>
      <c r="E5" s="8" t="n">
        <f aca="false">IF(D5="","",IF(D5&lt;Параметры!$B$4,CEILING(D5*Параметры!$B$5,100)-10,IF(D5&lt;=Параметры!$B$6,CEILING(D5*Параметры!$B$7,100)-10,CEILING(D5*Параметры!$B$8,100)-10)))</f>
        <v>1590</v>
      </c>
      <c r="F5" s="8" t="n">
        <f aca="false">IF(D5="","",ROUND(E5*(1-Параметры!$B$9-Параметры!$B$10-Параметры!$B$11)-D5,0))</f>
        <v>570</v>
      </c>
      <c r="G5" s="9" t="s">
        <v>24</v>
      </c>
      <c r="H5" s="9" t="s">
        <v>25</v>
      </c>
      <c r="I5" s="10" t="s">
        <v>26</v>
      </c>
      <c r="J5" s="9" t="n">
        <v>2025</v>
      </c>
      <c r="K5" s="7" t="n">
        <v>1947</v>
      </c>
      <c r="L5" s="11" t="n">
        <v>4.9</v>
      </c>
      <c r="M5" s="12" t="s">
        <v>27</v>
      </c>
      <c r="N5" s="6" t="s">
        <v>28</v>
      </c>
      <c r="O5" s="13" t="s">
        <v>29</v>
      </c>
      <c r="P5" s="9" t="str">
        <f aca="false">IF(COUNTIFS($G$5:$G$72,G5,$H$5:$H$72,H5,$I$5:$I$72,I5,$C$5:$C$72,C5)&gt;1,"повтор","")</f>
        <v/>
      </c>
      <c r="Q5" s="9" t="str">
        <f aca="false">IF(C5&lt;&gt;"1:24","",IF(D5="","проверить",IF(D5&lt;=Параметры!$B$12,"ок","дороже лимита")))</f>
        <v/>
      </c>
      <c r="R5" s="14" t="s">
        <v>30</v>
      </c>
    </row>
    <row r="6" customFormat="false" ht="22.35" hidden="false" customHeight="false" outlineLevel="0" collapsed="false">
      <c r="A6" s="4" t="s">
        <v>21</v>
      </c>
      <c r="B6" s="5" t="s">
        <v>31</v>
      </c>
      <c r="C6" s="6" t="s">
        <v>23</v>
      </c>
      <c r="D6" s="7" t="n">
        <v>789</v>
      </c>
      <c r="E6" s="8" t="n">
        <f aca="false">IF(D6="","",IF(D6&lt;Параметры!$B$4,CEILING(D6*Параметры!$B$5,100)-10,IF(D6&lt;=Параметры!$B$6,CEILING(D6*Параметры!$B$7,100)-10,CEILING(D6*Параметры!$B$8,100)-10)))</f>
        <v>1590</v>
      </c>
      <c r="F6" s="8" t="n">
        <f aca="false">IF(D6="","",ROUND(E6*(1-Параметры!$B$9-Параметры!$B$10-Параметры!$B$11)-D6,0))</f>
        <v>570</v>
      </c>
      <c r="G6" s="9" t="s">
        <v>24</v>
      </c>
      <c r="H6" s="9" t="s">
        <v>25</v>
      </c>
      <c r="I6" s="10" t="s">
        <v>32</v>
      </c>
      <c r="J6" s="9" t="n">
        <v>2025</v>
      </c>
      <c r="K6" s="7" t="n">
        <v>1947</v>
      </c>
      <c r="L6" s="11" t="n">
        <v>4.9</v>
      </c>
      <c r="M6" s="12" t="s">
        <v>27</v>
      </c>
      <c r="N6" s="6" t="s">
        <v>33</v>
      </c>
      <c r="O6" s="13" t="s">
        <v>29</v>
      </c>
      <c r="P6" s="9" t="str">
        <f aca="false">IF(COUNTIFS($G$5:$G$72,G6,$H$5:$H$72,H6,$I$5:$I$72,I6,$C$5:$C$72,C6)&gt;1,"повтор","")</f>
        <v/>
      </c>
      <c r="Q6" s="9" t="str">
        <f aca="false">IF(C6&lt;&gt;"1:24","",IF(D6="","проверить",IF(D6&lt;=Параметры!$B$12,"ок","дороже лимита")))</f>
        <v/>
      </c>
      <c r="R6" s="14" t="s">
        <v>34</v>
      </c>
    </row>
    <row r="7" customFormat="false" ht="15" hidden="false" customHeight="false" outlineLevel="0" collapsed="false">
      <c r="A7" s="4" t="s">
        <v>21</v>
      </c>
      <c r="B7" s="5" t="s">
        <v>35</v>
      </c>
      <c r="C7" s="6" t="s">
        <v>23</v>
      </c>
      <c r="D7" s="7" t="n">
        <v>879</v>
      </c>
      <c r="E7" s="8" t="n">
        <f aca="false">IF(D7="","",IF(D7&lt;Параметры!$B$4,CEILING(D7*Параметры!$B$5,100)-10,IF(D7&lt;=Параметры!$B$6,CEILING(D7*Параметры!$B$7,100)-10,CEILING(D7*Параметры!$B$8,100)-10)))</f>
        <v>1790</v>
      </c>
      <c r="F7" s="8" t="n">
        <f aca="false">IF(D7="","",ROUND(E7*(1-Параметры!$B$9-Параметры!$B$10-Параметры!$B$11)-D7,0))</f>
        <v>651</v>
      </c>
      <c r="G7" s="9" t="s">
        <v>24</v>
      </c>
      <c r="H7" s="9" t="s">
        <v>36</v>
      </c>
      <c r="I7" s="10" t="s">
        <v>26</v>
      </c>
      <c r="J7" s="9" t="n">
        <v>2025</v>
      </c>
      <c r="K7" s="7" t="n">
        <v>791</v>
      </c>
      <c r="L7" s="11" t="n">
        <v>4.9</v>
      </c>
      <c r="M7" s="12" t="s">
        <v>27</v>
      </c>
      <c r="N7" s="6" t="s">
        <v>37</v>
      </c>
      <c r="O7" s="13"/>
      <c r="P7" s="9" t="str">
        <f aca="false">IF(COUNTIFS($G$5:$G$72,G7,$H$5:$H$72,H7,$I$5:$I$72,I7,$C$5:$C$72,C7)&gt;1,"повтор","")</f>
        <v/>
      </c>
      <c r="Q7" s="9" t="str">
        <f aca="false">IF(C7&lt;&gt;"1:24","",IF(D7="","проверить",IF(D7&lt;=Параметры!$B$12,"ок","дороже лимита")))</f>
        <v/>
      </c>
      <c r="R7" s="14" t="s">
        <v>30</v>
      </c>
    </row>
    <row r="8" customFormat="false" ht="22.35" hidden="false" customHeight="false" outlineLevel="0" collapsed="false">
      <c r="A8" s="4" t="s">
        <v>21</v>
      </c>
      <c r="B8" s="5" t="s">
        <v>38</v>
      </c>
      <c r="C8" s="6" t="s">
        <v>23</v>
      </c>
      <c r="D8" s="7" t="n">
        <v>789</v>
      </c>
      <c r="E8" s="8" t="n">
        <f aca="false">IF(D8="","",IF(D8&lt;Параметры!$B$4,CEILING(D8*Параметры!$B$5,100)-10,IF(D8&lt;=Параметры!$B$6,CEILING(D8*Параметры!$B$7,100)-10,CEILING(D8*Параметры!$B$8,100)-10)))</f>
        <v>1590</v>
      </c>
      <c r="F8" s="8" t="n">
        <f aca="false">IF(D8="","",ROUND(E8*(1-Параметры!$B$9-Параметры!$B$10-Параметры!$B$11)-D8,0))</f>
        <v>570</v>
      </c>
      <c r="G8" s="9" t="s">
        <v>24</v>
      </c>
      <c r="H8" s="9" t="s">
        <v>36</v>
      </c>
      <c r="I8" s="10" t="s">
        <v>32</v>
      </c>
      <c r="J8" s="9" t="n">
        <v>2025</v>
      </c>
      <c r="K8" s="7" t="n">
        <v>1947</v>
      </c>
      <c r="L8" s="11" t="n">
        <v>4.9</v>
      </c>
      <c r="M8" s="12" t="s">
        <v>27</v>
      </c>
      <c r="N8" s="6" t="s">
        <v>39</v>
      </c>
      <c r="O8" s="13" t="s">
        <v>29</v>
      </c>
      <c r="P8" s="9" t="str">
        <f aca="false">IF(COUNTIFS($G$5:$G$72,G8,$H$5:$H$72,H8,$I$5:$I$72,I8,$C$5:$C$72,C8)&gt;1,"повтор","")</f>
        <v/>
      </c>
      <c r="Q8" s="9" t="str">
        <f aca="false">IF(C8&lt;&gt;"1:24","",IF(D8="","проверить",IF(D8&lt;=Параметры!$B$12,"ок","дороже лимита")))</f>
        <v/>
      </c>
      <c r="R8" s="14" t="s">
        <v>34</v>
      </c>
    </row>
    <row r="9" customFormat="false" ht="15" hidden="false" customHeight="false" outlineLevel="0" collapsed="false">
      <c r="A9" s="4" t="s">
        <v>21</v>
      </c>
      <c r="B9" s="5" t="s">
        <v>40</v>
      </c>
      <c r="C9" s="6" t="s">
        <v>23</v>
      </c>
      <c r="D9" s="7" t="n">
        <v>879</v>
      </c>
      <c r="E9" s="8" t="n">
        <f aca="false">IF(D9="","",IF(D9&lt;Параметры!$B$4,CEILING(D9*Параметры!$B$5,100)-10,IF(D9&lt;=Параметры!$B$6,CEILING(D9*Параметры!$B$7,100)-10,CEILING(D9*Параметры!$B$8,100)-10)))</f>
        <v>1790</v>
      </c>
      <c r="F9" s="8" t="n">
        <f aca="false">IF(D9="","",ROUND(E9*(1-Параметры!$B$9-Параметры!$B$10-Параметры!$B$11)-D9,0))</f>
        <v>651</v>
      </c>
      <c r="G9" s="9" t="s">
        <v>41</v>
      </c>
      <c r="H9" s="9" t="s">
        <v>42</v>
      </c>
      <c r="I9" s="9" t="s">
        <v>43</v>
      </c>
      <c r="J9" s="9" t="n">
        <v>2025</v>
      </c>
      <c r="K9" s="7" t="n">
        <v>791</v>
      </c>
      <c r="L9" s="11" t="n">
        <v>4.9</v>
      </c>
      <c r="M9" s="12" t="s">
        <v>27</v>
      </c>
      <c r="N9" s="6" t="s">
        <v>44</v>
      </c>
      <c r="O9" s="13"/>
      <c r="P9" s="9" t="str">
        <f aca="false">IF(COUNTIFS($G$5:$G$72,G9,$H$5:$H$72,H9,$I$5:$I$72,I9,$C$5:$C$72,C9)&gt;1,"повтор","")</f>
        <v/>
      </c>
      <c r="Q9" s="9" t="str">
        <f aca="false">IF(C9&lt;&gt;"1:24","",IF(D9="","проверить",IF(D9&lt;=Параметры!$B$12,"ок","дороже лимита")))</f>
        <v/>
      </c>
      <c r="R9" s="14"/>
    </row>
    <row r="10" customFormat="false" ht="15" hidden="false" customHeight="false" outlineLevel="0" collapsed="false">
      <c r="A10" s="4" t="s">
        <v>21</v>
      </c>
      <c r="B10" s="5" t="s">
        <v>45</v>
      </c>
      <c r="C10" s="6" t="s">
        <v>23</v>
      </c>
      <c r="D10" s="7" t="n">
        <v>789</v>
      </c>
      <c r="E10" s="8" t="n">
        <f aca="false">IF(D10="","",IF(D10&lt;Параметры!$B$4,CEILING(D10*Параметры!$B$5,100)-10,IF(D10&lt;=Параметры!$B$6,CEILING(D10*Параметры!$B$7,100)-10,CEILING(D10*Параметры!$B$8,100)-10)))</f>
        <v>1590</v>
      </c>
      <c r="F10" s="8" t="n">
        <f aca="false">IF(D10="","",ROUND(E10*(1-Параметры!$B$9-Параметры!$B$10-Параметры!$B$11)-D10,0))</f>
        <v>570</v>
      </c>
      <c r="G10" s="9" t="s">
        <v>41</v>
      </c>
      <c r="H10" s="9" t="s">
        <v>42</v>
      </c>
      <c r="I10" s="9" t="s">
        <v>46</v>
      </c>
      <c r="J10" s="9" t="n">
        <v>2025</v>
      </c>
      <c r="K10" s="7" t="n">
        <v>1947</v>
      </c>
      <c r="L10" s="11" t="n">
        <v>4.9</v>
      </c>
      <c r="M10" s="12" t="s">
        <v>27</v>
      </c>
      <c r="N10" s="6" t="s">
        <v>47</v>
      </c>
      <c r="O10" s="13"/>
      <c r="P10" s="9" t="str">
        <f aca="false">IF(COUNTIFS($G$5:$G$72,G10,$H$5:$H$72,H10,$I$5:$I$72,I10,$C$5:$C$72,C10)&gt;1,"повтор","")</f>
        <v/>
      </c>
      <c r="Q10" s="9" t="str">
        <f aca="false">IF(C10&lt;&gt;"1:24","",IF(D10="","проверить",IF(D10&lt;=Параметры!$B$12,"ок","дороже лимита")))</f>
        <v/>
      </c>
      <c r="R10" s="14" t="s">
        <v>48</v>
      </c>
    </row>
    <row r="11" customFormat="false" ht="15" hidden="false" customHeight="false" outlineLevel="0" collapsed="false">
      <c r="A11" s="4" t="s">
        <v>21</v>
      </c>
      <c r="B11" s="5" t="s">
        <v>49</v>
      </c>
      <c r="C11" s="6" t="s">
        <v>23</v>
      </c>
      <c r="D11" s="7" t="n">
        <v>789</v>
      </c>
      <c r="E11" s="8" t="n">
        <f aca="false">IF(D11="","",IF(D11&lt;Параметры!$B$4,CEILING(D11*Параметры!$B$5,100)-10,IF(D11&lt;=Параметры!$B$6,CEILING(D11*Параметры!$B$7,100)-10,CEILING(D11*Параметры!$B$8,100)-10)))</f>
        <v>1590</v>
      </c>
      <c r="F11" s="8" t="n">
        <f aca="false">IF(D11="","",ROUND(E11*(1-Параметры!$B$9-Параметры!$B$10-Параметры!$B$11)-D11,0))</f>
        <v>570</v>
      </c>
      <c r="G11" s="9" t="s">
        <v>41</v>
      </c>
      <c r="H11" s="9" t="s">
        <v>50</v>
      </c>
      <c r="I11" s="9" t="s">
        <v>43</v>
      </c>
      <c r="J11" s="9" t="n">
        <v>2025</v>
      </c>
      <c r="K11" s="7" t="n">
        <v>1947</v>
      </c>
      <c r="L11" s="11" t="n">
        <v>4.9</v>
      </c>
      <c r="M11" s="12" t="s">
        <v>27</v>
      </c>
      <c r="N11" s="6" t="s">
        <v>51</v>
      </c>
      <c r="O11" s="13" t="s">
        <v>29</v>
      </c>
      <c r="P11" s="9" t="str">
        <f aca="false">IF(COUNTIFS($G$5:$G$72,G11,$H$5:$H$72,H11,$I$5:$I$72,I11,$C$5:$C$72,C11)&gt;1,"повтор","")</f>
        <v/>
      </c>
      <c r="Q11" s="9" t="str">
        <f aca="false">IF(C11&lt;&gt;"1:24","",IF(D11="","проверить",IF(D11&lt;=Параметры!$B$12,"ок","дороже лимита")))</f>
        <v/>
      </c>
      <c r="R11" s="14"/>
    </row>
    <row r="12" customFormat="false" ht="15" hidden="false" customHeight="false" outlineLevel="0" collapsed="false">
      <c r="A12" s="4" t="s">
        <v>21</v>
      </c>
      <c r="B12" s="5" t="s">
        <v>52</v>
      </c>
      <c r="C12" s="6" t="s">
        <v>23</v>
      </c>
      <c r="D12" s="7" t="n">
        <v>789</v>
      </c>
      <c r="E12" s="8" t="n">
        <f aca="false">IF(D12="","",IF(D12&lt;Параметры!$B$4,CEILING(D12*Параметры!$B$5,100)-10,IF(D12&lt;=Параметры!$B$6,CEILING(D12*Параметры!$B$7,100)-10,CEILING(D12*Параметры!$B$8,100)-10)))</f>
        <v>1590</v>
      </c>
      <c r="F12" s="8" t="n">
        <f aca="false">IF(D12="","",ROUND(E12*(1-Параметры!$B$9-Параметры!$B$10-Параметры!$B$11)-D12,0))</f>
        <v>570</v>
      </c>
      <c r="G12" s="9" t="s">
        <v>41</v>
      </c>
      <c r="H12" s="9" t="s">
        <v>50</v>
      </c>
      <c r="I12" s="9" t="s">
        <v>46</v>
      </c>
      <c r="J12" s="9" t="n">
        <v>2025</v>
      </c>
      <c r="K12" s="7" t="n">
        <v>1947</v>
      </c>
      <c r="L12" s="11" t="n">
        <v>4.9</v>
      </c>
      <c r="M12" s="12" t="s">
        <v>27</v>
      </c>
      <c r="N12" s="6" t="s">
        <v>53</v>
      </c>
      <c r="O12" s="13" t="s">
        <v>29</v>
      </c>
      <c r="P12" s="9" t="str">
        <f aca="false">IF(COUNTIFS($G$5:$G$72,G12,$H$5:$H$72,H12,$I$5:$I$72,I12,$C$5:$C$72,C12)&gt;1,"повтор","")</f>
        <v/>
      </c>
      <c r="Q12" s="9" t="str">
        <f aca="false">IF(C12&lt;&gt;"1:24","",IF(D12="","проверить",IF(D12&lt;=Параметры!$B$12,"ок","дороже лимита")))</f>
        <v/>
      </c>
      <c r="R12" s="14" t="s">
        <v>48</v>
      </c>
    </row>
    <row r="13" customFormat="false" ht="15" hidden="false" customHeight="false" outlineLevel="0" collapsed="false">
      <c r="A13" s="4" t="s">
        <v>21</v>
      </c>
      <c r="B13" s="5" t="s">
        <v>54</v>
      </c>
      <c r="C13" s="6" t="s">
        <v>23</v>
      </c>
      <c r="D13" s="7" t="n">
        <v>879</v>
      </c>
      <c r="E13" s="8" t="n">
        <f aca="false">IF(D13="","",IF(D13&lt;Параметры!$B$4,CEILING(D13*Параметры!$B$5,100)-10,IF(D13&lt;=Параметры!$B$6,CEILING(D13*Параметры!$B$7,100)-10,CEILING(D13*Параметры!$B$8,100)-10)))</f>
        <v>1790</v>
      </c>
      <c r="F13" s="8" t="n">
        <f aca="false">IF(D13="","",ROUND(E13*(1-Параметры!$B$9-Параметры!$B$10-Параметры!$B$11)-D13,0))</f>
        <v>651</v>
      </c>
      <c r="G13" s="9" t="s">
        <v>55</v>
      </c>
      <c r="H13" s="9" t="s">
        <v>56</v>
      </c>
      <c r="I13" s="9" t="s">
        <v>43</v>
      </c>
      <c r="J13" s="9" t="n">
        <v>2025</v>
      </c>
      <c r="K13" s="7" t="n">
        <v>791</v>
      </c>
      <c r="L13" s="11" t="n">
        <v>4.9</v>
      </c>
      <c r="M13" s="12" t="s">
        <v>27</v>
      </c>
      <c r="N13" s="6" t="s">
        <v>57</v>
      </c>
      <c r="O13" s="13"/>
      <c r="P13" s="9" t="str">
        <f aca="false">IF(COUNTIFS($G$5:$G$72,G13,$H$5:$H$72,H13,$I$5:$I$72,I13,$C$5:$C$72,C13)&gt;1,"повтор","")</f>
        <v/>
      </c>
      <c r="Q13" s="9" t="str">
        <f aca="false">IF(C13&lt;&gt;"1:24","",IF(D13="","проверить",IF(D13&lt;=Параметры!$B$12,"ок","дороже лимита")))</f>
        <v/>
      </c>
      <c r="R13" s="14"/>
    </row>
    <row r="14" customFormat="false" ht="15" hidden="false" customHeight="false" outlineLevel="0" collapsed="false">
      <c r="A14" s="4" t="s">
        <v>21</v>
      </c>
      <c r="B14" s="5" t="s">
        <v>58</v>
      </c>
      <c r="C14" s="6" t="s">
        <v>23</v>
      </c>
      <c r="D14" s="7" t="n">
        <v>879</v>
      </c>
      <c r="E14" s="8" t="n">
        <f aca="false">IF(D14="","",IF(D14&lt;Параметры!$B$4,CEILING(D14*Параметры!$B$5,100)-10,IF(D14&lt;=Параметры!$B$6,CEILING(D14*Параметры!$B$7,100)-10,CEILING(D14*Параметры!$B$8,100)-10)))</f>
        <v>1790</v>
      </c>
      <c r="F14" s="8" t="n">
        <f aca="false">IF(D14="","",ROUND(E14*(1-Параметры!$B$9-Параметры!$B$10-Параметры!$B$11)-D14,0))</f>
        <v>651</v>
      </c>
      <c r="G14" s="9" t="s">
        <v>55</v>
      </c>
      <c r="H14" s="9" t="s">
        <v>56</v>
      </c>
      <c r="I14" s="10" t="s">
        <v>59</v>
      </c>
      <c r="J14" s="9" t="n">
        <v>2025</v>
      </c>
      <c r="K14" s="7" t="n">
        <v>791</v>
      </c>
      <c r="L14" s="11" t="n">
        <v>4.9</v>
      </c>
      <c r="M14" s="12" t="s">
        <v>27</v>
      </c>
      <c r="N14" s="6" t="s">
        <v>60</v>
      </c>
      <c r="O14" s="13"/>
      <c r="P14" s="9" t="str">
        <f aca="false">IF(COUNTIFS($G$5:$G$72,G14,$H$5:$H$72,H14,$I$5:$I$72,I14,$C$5:$C$72,C14)&gt;1,"повтор","")</f>
        <v/>
      </c>
      <c r="Q14" s="9" t="str">
        <f aca="false">IF(C14&lt;&gt;"1:24","",IF(D14="","проверить",IF(D14&lt;=Параметры!$B$12,"ок","дороже лимита")))</f>
        <v/>
      </c>
      <c r="R14" s="14" t="s">
        <v>61</v>
      </c>
    </row>
    <row r="15" customFormat="false" ht="15" hidden="false" customHeight="false" outlineLevel="0" collapsed="false">
      <c r="A15" s="4" t="s">
        <v>21</v>
      </c>
      <c r="B15" s="5" t="s">
        <v>62</v>
      </c>
      <c r="C15" s="6" t="s">
        <v>23</v>
      </c>
      <c r="D15" s="7" t="n">
        <v>789</v>
      </c>
      <c r="E15" s="8" t="n">
        <f aca="false">IF(D15="","",IF(D15&lt;Параметры!$B$4,CEILING(D15*Параметры!$B$5,100)-10,IF(D15&lt;=Параметры!$B$6,CEILING(D15*Параметры!$B$7,100)-10,CEILING(D15*Параметры!$B$8,100)-10)))</f>
        <v>1590</v>
      </c>
      <c r="F15" s="8" t="n">
        <f aca="false">IF(D15="","",ROUND(E15*(1-Параметры!$B$9-Параметры!$B$10-Параметры!$B$11)-D15,0))</f>
        <v>570</v>
      </c>
      <c r="G15" s="9" t="s">
        <v>55</v>
      </c>
      <c r="H15" s="9" t="s">
        <v>63</v>
      </c>
      <c r="I15" s="10" t="s">
        <v>43</v>
      </c>
      <c r="J15" s="9" t="n">
        <v>2025</v>
      </c>
      <c r="K15" s="7" t="n">
        <v>1947</v>
      </c>
      <c r="L15" s="11" t="n">
        <v>4.9</v>
      </c>
      <c r="M15" s="12" t="s">
        <v>27</v>
      </c>
      <c r="N15" s="6" t="s">
        <v>64</v>
      </c>
      <c r="O15" s="13" t="s">
        <v>29</v>
      </c>
      <c r="P15" s="9" t="str">
        <f aca="false">IF(COUNTIFS($G$5:$G$72,G15,$H$5:$H$72,H15,$I$5:$I$72,I15,$C$5:$C$72,C15)&gt;1,"повтор","")</f>
        <v/>
      </c>
      <c r="Q15" s="9" t="str">
        <f aca="false">IF(C15&lt;&gt;"1:24","",IF(D15="","проверить",IF(D15&lt;=Параметры!$B$12,"ок","дороже лимита")))</f>
        <v/>
      </c>
      <c r="R15" s="14" t="s">
        <v>65</v>
      </c>
    </row>
    <row r="16" customFormat="false" ht="15" hidden="false" customHeight="false" outlineLevel="0" collapsed="false">
      <c r="A16" s="4" t="s">
        <v>21</v>
      </c>
      <c r="B16" s="5" t="s">
        <v>66</v>
      </c>
      <c r="C16" s="6" t="s">
        <v>23</v>
      </c>
      <c r="D16" s="7" t="n">
        <v>789</v>
      </c>
      <c r="E16" s="8" t="n">
        <f aca="false">IF(D16="","",IF(D16&lt;Параметры!$B$4,CEILING(D16*Параметры!$B$5,100)-10,IF(D16&lt;=Параметры!$B$6,CEILING(D16*Параметры!$B$7,100)-10,CEILING(D16*Параметры!$B$8,100)-10)))</f>
        <v>1590</v>
      </c>
      <c r="F16" s="8" t="n">
        <f aca="false">IF(D16="","",ROUND(E16*(1-Параметры!$B$9-Параметры!$B$10-Параметры!$B$11)-D16,0))</f>
        <v>570</v>
      </c>
      <c r="G16" s="9" t="s">
        <v>55</v>
      </c>
      <c r="H16" s="9" t="s">
        <v>63</v>
      </c>
      <c r="I16" s="10" t="s">
        <v>59</v>
      </c>
      <c r="J16" s="9" t="n">
        <v>2025</v>
      </c>
      <c r="K16" s="7" t="n">
        <v>1947</v>
      </c>
      <c r="L16" s="11" t="n">
        <v>4.9</v>
      </c>
      <c r="M16" s="12" t="s">
        <v>27</v>
      </c>
      <c r="N16" s="6" t="s">
        <v>67</v>
      </c>
      <c r="O16" s="13" t="s">
        <v>29</v>
      </c>
      <c r="P16" s="9" t="str">
        <f aca="false">IF(COUNTIFS($G$5:$G$72,G16,$H$5:$H$72,H16,$I$5:$I$72,I16,$C$5:$C$72,C16)&gt;1,"повтор","")</f>
        <v/>
      </c>
      <c r="Q16" s="9" t="str">
        <f aca="false">IF(C16&lt;&gt;"1:24","",IF(D16="","проверить",IF(D16&lt;=Параметры!$B$12,"ок","дороже лимита")))</f>
        <v/>
      </c>
      <c r="R16" s="14" t="s">
        <v>61</v>
      </c>
    </row>
    <row r="17" customFormat="false" ht="15" hidden="false" customHeight="false" outlineLevel="0" collapsed="false">
      <c r="A17" s="4" t="s">
        <v>21</v>
      </c>
      <c r="B17" s="5" t="s">
        <v>68</v>
      </c>
      <c r="C17" s="6" t="s">
        <v>23</v>
      </c>
      <c r="D17" s="7" t="n">
        <v>879</v>
      </c>
      <c r="E17" s="8" t="n">
        <f aca="false">IF(D17="","",IF(D17&lt;Параметры!$B$4,CEILING(D17*Параметры!$B$5,100)-10,IF(D17&lt;=Параметры!$B$6,CEILING(D17*Параметры!$B$7,100)-10,CEILING(D17*Параметры!$B$8,100)-10)))</f>
        <v>1790</v>
      </c>
      <c r="F17" s="8" t="n">
        <f aca="false">IF(D17="","",ROUND(E17*(1-Параметры!$B$9-Параметры!$B$10-Параметры!$B$11)-D17,0))</f>
        <v>651</v>
      </c>
      <c r="G17" s="9" t="s">
        <v>69</v>
      </c>
      <c r="H17" s="9" t="s">
        <v>70</v>
      </c>
      <c r="I17" s="9" t="s">
        <v>43</v>
      </c>
      <c r="J17" s="9" t="n">
        <v>2025</v>
      </c>
      <c r="K17" s="7" t="n">
        <v>791</v>
      </c>
      <c r="L17" s="11" t="n">
        <v>4.9</v>
      </c>
      <c r="M17" s="12" t="s">
        <v>27</v>
      </c>
      <c r="N17" s="6" t="s">
        <v>71</v>
      </c>
      <c r="O17" s="13"/>
      <c r="P17" s="9" t="str">
        <f aca="false">IF(COUNTIFS($G$5:$G$72,G17,$H$5:$H$72,H17,$I$5:$I$72,I17,$C$5:$C$72,C17)&gt;1,"повтор","")</f>
        <v/>
      </c>
      <c r="Q17" s="9" t="str">
        <f aca="false">IF(C17&lt;&gt;"1:24","",IF(D17="","проверить",IF(D17&lt;=Параметры!$B$12,"ок","дороже лимита")))</f>
        <v/>
      </c>
      <c r="R17" s="14"/>
    </row>
    <row r="18" customFormat="false" ht="15" hidden="false" customHeight="false" outlineLevel="0" collapsed="false">
      <c r="A18" s="4" t="s">
        <v>21</v>
      </c>
      <c r="B18" s="5" t="s">
        <v>72</v>
      </c>
      <c r="C18" s="6" t="s">
        <v>23</v>
      </c>
      <c r="D18" s="7" t="n">
        <v>789</v>
      </c>
      <c r="E18" s="8" t="n">
        <f aca="false">IF(D18="","",IF(D18&lt;Параметры!$B$4,CEILING(D18*Параметры!$B$5,100)-10,IF(D18&lt;=Параметры!$B$6,CEILING(D18*Параметры!$B$7,100)-10,CEILING(D18*Параметры!$B$8,100)-10)))</f>
        <v>1590</v>
      </c>
      <c r="F18" s="8" t="n">
        <f aca="false">IF(D18="","",ROUND(E18*(1-Параметры!$B$9-Параметры!$B$10-Параметры!$B$11)-D18,0))</f>
        <v>570</v>
      </c>
      <c r="G18" s="9" t="s">
        <v>69</v>
      </c>
      <c r="H18" s="9" t="s">
        <v>70</v>
      </c>
      <c r="I18" s="10" t="s">
        <v>59</v>
      </c>
      <c r="J18" s="9" t="n">
        <v>2025</v>
      </c>
      <c r="K18" s="7" t="n">
        <v>1947</v>
      </c>
      <c r="L18" s="11" t="n">
        <v>4.9</v>
      </c>
      <c r="M18" s="12" t="s">
        <v>27</v>
      </c>
      <c r="N18" s="6" t="s">
        <v>73</v>
      </c>
      <c r="O18" s="13" t="s">
        <v>29</v>
      </c>
      <c r="P18" s="9" t="str">
        <f aca="false">IF(COUNTIFS($G$5:$G$72,G18,$H$5:$H$72,H18,$I$5:$I$72,I18,$C$5:$C$72,C18)&gt;1,"повтор","")</f>
        <v/>
      </c>
      <c r="Q18" s="9" t="str">
        <f aca="false">IF(C18&lt;&gt;"1:24","",IF(D18="","проверить",IF(D18&lt;=Параметры!$B$12,"ок","дороже лимита")))</f>
        <v/>
      </c>
      <c r="R18" s="14" t="s">
        <v>61</v>
      </c>
    </row>
    <row r="19" customFormat="false" ht="15" hidden="false" customHeight="false" outlineLevel="0" collapsed="false">
      <c r="A19" s="4" t="s">
        <v>21</v>
      </c>
      <c r="B19" s="5" t="s">
        <v>74</v>
      </c>
      <c r="C19" s="6" t="s">
        <v>23</v>
      </c>
      <c r="D19" s="7" t="n">
        <v>789</v>
      </c>
      <c r="E19" s="8" t="n">
        <f aca="false">IF(D19="","",IF(D19&lt;Параметры!$B$4,CEILING(D19*Параметры!$B$5,100)-10,IF(D19&lt;=Параметры!$B$6,CEILING(D19*Параметры!$B$7,100)-10,CEILING(D19*Параметры!$B$8,100)-10)))</f>
        <v>1590</v>
      </c>
      <c r="F19" s="8" t="n">
        <f aca="false">IF(D19="","",ROUND(E19*(1-Параметры!$B$9-Параметры!$B$10-Параметры!$B$11)-D19,0))</f>
        <v>570</v>
      </c>
      <c r="G19" s="9" t="s">
        <v>69</v>
      </c>
      <c r="H19" s="9" t="s">
        <v>75</v>
      </c>
      <c r="I19" s="10" t="s">
        <v>43</v>
      </c>
      <c r="J19" s="9" t="n">
        <v>2025</v>
      </c>
      <c r="K19" s="7" t="n">
        <v>1947</v>
      </c>
      <c r="L19" s="11" t="n">
        <v>4.9</v>
      </c>
      <c r="M19" s="12" t="s">
        <v>27</v>
      </c>
      <c r="N19" s="6" t="s">
        <v>76</v>
      </c>
      <c r="O19" s="13" t="s">
        <v>29</v>
      </c>
      <c r="P19" s="9" t="str">
        <f aca="false">IF(COUNTIFS($G$5:$G$72,G19,$H$5:$H$72,H19,$I$5:$I$72,I19,$C$5:$C$72,C19)&gt;1,"повтор","")</f>
        <v/>
      </c>
      <c r="Q19" s="9" t="str">
        <f aca="false">IF(C19&lt;&gt;"1:24","",IF(D19="","проверить",IF(D19&lt;=Параметры!$B$12,"ок","дороже лимита")))</f>
        <v/>
      </c>
      <c r="R19" s="14" t="s">
        <v>65</v>
      </c>
    </row>
    <row r="20" customFormat="false" ht="15" hidden="false" customHeight="false" outlineLevel="0" collapsed="false">
      <c r="A20" s="4" t="s">
        <v>21</v>
      </c>
      <c r="B20" s="5" t="s">
        <v>77</v>
      </c>
      <c r="C20" s="6" t="s">
        <v>23</v>
      </c>
      <c r="D20" s="7" t="n">
        <v>789</v>
      </c>
      <c r="E20" s="8" t="n">
        <f aca="false">IF(D20="","",IF(D20&lt;Параметры!$B$4,CEILING(D20*Параметры!$B$5,100)-10,IF(D20&lt;=Параметры!$B$6,CEILING(D20*Параметры!$B$7,100)-10,CEILING(D20*Параметры!$B$8,100)-10)))</f>
        <v>1590</v>
      </c>
      <c r="F20" s="8" t="n">
        <f aca="false">IF(D20="","",ROUND(E20*(1-Параметры!$B$9-Параметры!$B$10-Параметры!$B$11)-D20,0))</f>
        <v>570</v>
      </c>
      <c r="G20" s="9" t="s">
        <v>69</v>
      </c>
      <c r="H20" s="9" t="s">
        <v>75</v>
      </c>
      <c r="I20" s="10" t="s">
        <v>59</v>
      </c>
      <c r="J20" s="9" t="n">
        <v>2025</v>
      </c>
      <c r="K20" s="7" t="n">
        <v>1947</v>
      </c>
      <c r="L20" s="11" t="n">
        <v>4.9</v>
      </c>
      <c r="M20" s="12" t="s">
        <v>27</v>
      </c>
      <c r="N20" s="6" t="s">
        <v>78</v>
      </c>
      <c r="O20" s="13" t="s">
        <v>29</v>
      </c>
      <c r="P20" s="9" t="str">
        <f aca="false">IF(COUNTIFS($G$5:$G$72,G20,$H$5:$H$72,H20,$I$5:$I$72,I20,$C$5:$C$72,C20)&gt;1,"повтор","")</f>
        <v/>
      </c>
      <c r="Q20" s="9" t="str">
        <f aca="false">IF(C20&lt;&gt;"1:24","",IF(D20="","проверить",IF(D20&lt;=Параметры!$B$12,"ок","дороже лимита")))</f>
        <v/>
      </c>
      <c r="R20" s="14" t="s">
        <v>61</v>
      </c>
    </row>
    <row r="21" customFormat="false" ht="15" hidden="false" customHeight="false" outlineLevel="0" collapsed="false">
      <c r="A21" s="4" t="s">
        <v>21</v>
      </c>
      <c r="B21" s="5" t="s">
        <v>79</v>
      </c>
      <c r="C21" s="6" t="s">
        <v>23</v>
      </c>
      <c r="D21" s="7" t="n">
        <v>879</v>
      </c>
      <c r="E21" s="8" t="n">
        <f aca="false">IF(D21="","",IF(D21&lt;Параметры!$B$4,CEILING(D21*Параметры!$B$5,100)-10,IF(D21&lt;=Параметры!$B$6,CEILING(D21*Параметры!$B$7,100)-10,CEILING(D21*Параметры!$B$8,100)-10)))</f>
        <v>1790</v>
      </c>
      <c r="F21" s="8" t="n">
        <f aca="false">IF(D21="","",ROUND(E21*(1-Параметры!$B$9-Параметры!$B$10-Параметры!$B$11)-D21,0))</f>
        <v>651</v>
      </c>
      <c r="G21" s="9" t="s">
        <v>80</v>
      </c>
      <c r="H21" s="9" t="s">
        <v>81</v>
      </c>
      <c r="I21" s="9" t="s">
        <v>43</v>
      </c>
      <c r="J21" s="9" t="n">
        <v>2025</v>
      </c>
      <c r="K21" s="7" t="n">
        <v>791</v>
      </c>
      <c r="L21" s="11" t="n">
        <v>4.9</v>
      </c>
      <c r="M21" s="12" t="s">
        <v>27</v>
      </c>
      <c r="N21" s="6" t="s">
        <v>82</v>
      </c>
      <c r="O21" s="13"/>
      <c r="P21" s="9" t="str">
        <f aca="false">IF(COUNTIFS($G$5:$G$72,G21,$H$5:$H$72,H21,$I$5:$I$72,I21,$C$5:$C$72,C21)&gt;1,"повтор","")</f>
        <v/>
      </c>
      <c r="Q21" s="9" t="str">
        <f aca="false">IF(C21&lt;&gt;"1:24","",IF(D21="","проверить",IF(D21&lt;=Параметры!$B$12,"ок","дороже лимита")))</f>
        <v/>
      </c>
      <c r="R21" s="14"/>
    </row>
    <row r="22" customFormat="false" ht="15" hidden="false" customHeight="false" outlineLevel="0" collapsed="false">
      <c r="A22" s="4" t="s">
        <v>21</v>
      </c>
      <c r="B22" s="5" t="s">
        <v>83</v>
      </c>
      <c r="C22" s="6" t="s">
        <v>23</v>
      </c>
      <c r="D22" s="7" t="n">
        <v>879</v>
      </c>
      <c r="E22" s="8" t="n">
        <f aca="false">IF(D22="","",IF(D22&lt;Параметры!$B$4,CEILING(D22*Параметры!$B$5,100)-10,IF(D22&lt;=Параметры!$B$6,CEILING(D22*Параметры!$B$7,100)-10,CEILING(D22*Параметры!$B$8,100)-10)))</f>
        <v>1790</v>
      </c>
      <c r="F22" s="8" t="n">
        <f aca="false">IF(D22="","",ROUND(E22*(1-Параметры!$B$9-Параметры!$B$10-Параметры!$B$11)-D22,0))</f>
        <v>651</v>
      </c>
      <c r="G22" s="9" t="s">
        <v>80</v>
      </c>
      <c r="H22" s="9" t="s">
        <v>84</v>
      </c>
      <c r="I22" s="9" t="s">
        <v>43</v>
      </c>
      <c r="J22" s="9" t="n">
        <v>2025</v>
      </c>
      <c r="K22" s="7" t="n">
        <v>791</v>
      </c>
      <c r="L22" s="11" t="n">
        <v>4.9</v>
      </c>
      <c r="M22" s="12" t="s">
        <v>27</v>
      </c>
      <c r="N22" s="6" t="s">
        <v>85</v>
      </c>
      <c r="O22" s="13"/>
      <c r="P22" s="9" t="str">
        <f aca="false">IF(COUNTIFS($G$5:$G$72,G22,$H$5:$H$72,H22,$I$5:$I$72,I22,$C$5:$C$72,C22)&gt;1,"повтор","")</f>
        <v/>
      </c>
      <c r="Q22" s="9" t="str">
        <f aca="false">IF(C22&lt;&gt;"1:24","",IF(D22="","проверить",IF(D22&lt;=Параметры!$B$12,"ок","дороже лимита")))</f>
        <v/>
      </c>
      <c r="R22" s="14"/>
    </row>
    <row r="23" customFormat="false" ht="15" hidden="false" customHeight="false" outlineLevel="0" collapsed="false">
      <c r="A23" s="4" t="s">
        <v>21</v>
      </c>
      <c r="B23" s="5" t="s">
        <v>86</v>
      </c>
      <c r="C23" s="6" t="s">
        <v>23</v>
      </c>
      <c r="D23" s="7" t="n">
        <v>879</v>
      </c>
      <c r="E23" s="8" t="n">
        <f aca="false">IF(D23="","",IF(D23&lt;Параметры!$B$4,CEILING(D23*Параметры!$B$5,100)-10,IF(D23&lt;=Параметры!$B$6,CEILING(D23*Параметры!$B$7,100)-10,CEILING(D23*Параметры!$B$8,100)-10)))</f>
        <v>1790</v>
      </c>
      <c r="F23" s="8" t="n">
        <f aca="false">IF(D23="","",ROUND(E23*(1-Параметры!$B$9-Параметры!$B$10-Параметры!$B$11)-D23,0))</f>
        <v>651</v>
      </c>
      <c r="G23" s="9" t="s">
        <v>87</v>
      </c>
      <c r="H23" s="9" t="s">
        <v>88</v>
      </c>
      <c r="I23" s="9" t="s">
        <v>89</v>
      </c>
      <c r="J23" s="9" t="n">
        <v>2025</v>
      </c>
      <c r="K23" s="7" t="n">
        <v>791</v>
      </c>
      <c r="L23" s="11" t="n">
        <v>4.9</v>
      </c>
      <c r="M23" s="12" t="s">
        <v>27</v>
      </c>
      <c r="N23" s="6" t="s">
        <v>90</v>
      </c>
      <c r="O23" s="13"/>
      <c r="P23" s="9" t="str">
        <f aca="false">IF(COUNTIFS($G$5:$G$72,G23,$H$5:$H$72,H23,$I$5:$I$72,I23,$C$5:$C$72,C23)&gt;1,"повтор","")</f>
        <v/>
      </c>
      <c r="Q23" s="9" t="str">
        <f aca="false">IF(C23&lt;&gt;"1:24","",IF(D23="","проверить",IF(D23&lt;=Параметры!$B$12,"ок","дороже лимита")))</f>
        <v/>
      </c>
      <c r="R23" s="14" t="s">
        <v>91</v>
      </c>
    </row>
    <row r="24" customFormat="false" ht="15" hidden="false" customHeight="false" outlineLevel="0" collapsed="false">
      <c r="A24" s="4" t="s">
        <v>21</v>
      </c>
      <c r="B24" s="5" t="s">
        <v>92</v>
      </c>
      <c r="C24" s="6" t="s">
        <v>23</v>
      </c>
      <c r="D24" s="7" t="n">
        <v>879</v>
      </c>
      <c r="E24" s="8" t="n">
        <f aca="false">IF(D24="","",IF(D24&lt;Параметры!$B$4,CEILING(D24*Параметры!$B$5,100)-10,IF(D24&lt;=Параметры!$B$6,CEILING(D24*Параметры!$B$7,100)-10,CEILING(D24*Параметры!$B$8,100)-10)))</f>
        <v>1790</v>
      </c>
      <c r="F24" s="8" t="n">
        <f aca="false">IF(D24="","",ROUND(E24*(1-Параметры!$B$9-Параметры!$B$10-Параметры!$B$11)-D24,0))</f>
        <v>651</v>
      </c>
      <c r="G24" s="9" t="s">
        <v>87</v>
      </c>
      <c r="H24" s="9" t="s">
        <v>93</v>
      </c>
      <c r="I24" s="9" t="s">
        <v>89</v>
      </c>
      <c r="J24" s="9" t="n">
        <v>2025</v>
      </c>
      <c r="K24" s="7" t="n">
        <v>791</v>
      </c>
      <c r="L24" s="11" t="n">
        <v>4.9</v>
      </c>
      <c r="M24" s="12" t="s">
        <v>27</v>
      </c>
      <c r="N24" s="6" t="s">
        <v>94</v>
      </c>
      <c r="O24" s="13"/>
      <c r="P24" s="9" t="str">
        <f aca="false">IF(COUNTIFS($G$5:$G$72,G24,$H$5:$H$72,H24,$I$5:$I$72,I24,$C$5:$C$72,C24)&gt;1,"повтор","")</f>
        <v/>
      </c>
      <c r="Q24" s="9" t="str">
        <f aca="false">IF(C24&lt;&gt;"1:24","",IF(D24="","проверить",IF(D24&lt;=Параметры!$B$12,"ок","дороже лимита")))</f>
        <v/>
      </c>
      <c r="R24" s="14" t="s">
        <v>91</v>
      </c>
    </row>
    <row r="25" customFormat="false" ht="15" hidden="false" customHeight="false" outlineLevel="0" collapsed="false">
      <c r="A25" s="4" t="s">
        <v>95</v>
      </c>
      <c r="B25" s="5" t="s">
        <v>96</v>
      </c>
      <c r="C25" s="6" t="s">
        <v>23</v>
      </c>
      <c r="D25" s="7" t="n">
        <v>1489</v>
      </c>
      <c r="E25" s="8" t="n">
        <f aca="false">IF(D25="","",IF(D25&lt;Параметры!$B$4,CEILING(D25*Параметры!$B$5,100)-10,IF(D25&lt;=Параметры!$B$6,CEILING(D25*Параметры!$B$7,100)-10,CEILING(D25*Параметры!$B$8,100)-10)))</f>
        <v>2990</v>
      </c>
      <c r="F25" s="8" t="n">
        <f aca="false">IF(D25="","",ROUND(E25*(1-Параметры!$B$9-Параметры!$B$10-Параметры!$B$11)-D25,0))</f>
        <v>1067</v>
      </c>
      <c r="G25" s="9" t="s">
        <v>97</v>
      </c>
      <c r="H25" s="9" t="s">
        <v>42</v>
      </c>
      <c r="I25" s="9" t="s">
        <v>43</v>
      </c>
      <c r="J25" s="9" t="n">
        <v>2026</v>
      </c>
      <c r="K25" s="7" t="n">
        <v>45</v>
      </c>
      <c r="L25" s="11"/>
      <c r="M25" s="12" t="s">
        <v>27</v>
      </c>
      <c r="N25" s="6" t="s">
        <v>98</v>
      </c>
      <c r="O25" s="13"/>
      <c r="P25" s="9" t="str">
        <f aca="false">IF(COUNTIFS($G$5:$G$72,G25,$H$5:$H$72,H25,$I$5:$I$72,I25,$C$5:$C$72,C25)&gt;1,"повтор","")</f>
        <v/>
      </c>
      <c r="Q25" s="9" t="str">
        <f aca="false">IF(C25&lt;&gt;"1:24","",IF(D25="","проверить",IF(D25&lt;=Параметры!$B$12,"ок","дороже лимита")))</f>
        <v/>
      </c>
      <c r="R25" s="14" t="s">
        <v>99</v>
      </c>
    </row>
    <row r="26" customFormat="false" ht="15" hidden="false" customHeight="false" outlineLevel="0" collapsed="false">
      <c r="A26" s="4" t="s">
        <v>95</v>
      </c>
      <c r="B26" s="5" t="s">
        <v>100</v>
      </c>
      <c r="C26" s="6" t="s">
        <v>23</v>
      </c>
      <c r="D26" s="7" t="n">
        <v>1489</v>
      </c>
      <c r="E26" s="8" t="n">
        <f aca="false">IF(D26="","",IF(D26&lt;Параметры!$B$4,CEILING(D26*Параметры!$B$5,100)-10,IF(D26&lt;=Параметры!$B$6,CEILING(D26*Параметры!$B$7,100)-10,CEILING(D26*Параметры!$B$8,100)-10)))</f>
        <v>2990</v>
      </c>
      <c r="F26" s="8" t="n">
        <f aca="false">IF(D26="","",ROUND(E26*(1-Параметры!$B$9-Параметры!$B$10-Параметры!$B$11)-D26,0))</f>
        <v>1067</v>
      </c>
      <c r="G26" s="9" t="s">
        <v>97</v>
      </c>
      <c r="H26" s="9" t="s">
        <v>50</v>
      </c>
      <c r="I26" s="9" t="s">
        <v>43</v>
      </c>
      <c r="J26" s="9" t="n">
        <v>2026</v>
      </c>
      <c r="K26" s="7" t="n">
        <v>45</v>
      </c>
      <c r="L26" s="11"/>
      <c r="M26" s="12" t="s">
        <v>27</v>
      </c>
      <c r="N26" s="6" t="s">
        <v>101</v>
      </c>
      <c r="O26" s="13"/>
      <c r="P26" s="9" t="str">
        <f aca="false">IF(COUNTIFS($G$5:$G$72,G26,$H$5:$H$72,H26,$I$5:$I$72,I26,$C$5:$C$72,C26)&gt;1,"повтор","")</f>
        <v/>
      </c>
      <c r="Q26" s="9" t="str">
        <f aca="false">IF(C26&lt;&gt;"1:24","",IF(D26="","проверить",IF(D26&lt;=Параметры!$B$12,"ок","дороже лимита")))</f>
        <v/>
      </c>
      <c r="R26" s="14" t="s">
        <v>99</v>
      </c>
    </row>
    <row r="27" customFormat="false" ht="15" hidden="false" customHeight="false" outlineLevel="0" collapsed="false">
      <c r="A27" s="4" t="s">
        <v>95</v>
      </c>
      <c r="B27" s="5" t="s">
        <v>102</v>
      </c>
      <c r="C27" s="6" t="s">
        <v>23</v>
      </c>
      <c r="D27" s="7" t="n">
        <v>1489</v>
      </c>
      <c r="E27" s="8" t="n">
        <f aca="false">IF(D27="","",IF(D27&lt;Параметры!$B$4,CEILING(D27*Параметры!$B$5,100)-10,IF(D27&lt;=Параметры!$B$6,CEILING(D27*Параметры!$B$7,100)-10,CEILING(D27*Параметры!$B$8,100)-10)))</f>
        <v>2990</v>
      </c>
      <c r="F27" s="8" t="n">
        <f aca="false">IF(D27="","",ROUND(E27*(1-Параметры!$B$9-Параметры!$B$10-Параметры!$B$11)-D27,0))</f>
        <v>1067</v>
      </c>
      <c r="G27" s="9" t="s">
        <v>103</v>
      </c>
      <c r="H27" s="9" t="s">
        <v>56</v>
      </c>
      <c r="I27" s="9" t="s">
        <v>43</v>
      </c>
      <c r="J27" s="9" t="n">
        <v>2026</v>
      </c>
      <c r="K27" s="7" t="n">
        <v>31</v>
      </c>
      <c r="L27" s="11"/>
      <c r="M27" s="12" t="s">
        <v>27</v>
      </c>
      <c r="N27" s="6" t="s">
        <v>104</v>
      </c>
      <c r="O27" s="13"/>
      <c r="P27" s="9" t="str">
        <f aca="false">IF(COUNTIFS($G$5:$G$72,G27,$H$5:$H$72,H27,$I$5:$I$72,I27,$C$5:$C$72,C27)&gt;1,"повтор","")</f>
        <v/>
      </c>
      <c r="Q27" s="9" t="str">
        <f aca="false">IF(C27&lt;&gt;"1:24","",IF(D27="","проверить",IF(D27&lt;=Параметры!$B$12,"ок","дороже лимита")))</f>
        <v/>
      </c>
      <c r="R27" s="14" t="s">
        <v>99</v>
      </c>
    </row>
    <row r="28" customFormat="false" ht="15" hidden="false" customHeight="false" outlineLevel="0" collapsed="false">
      <c r="A28" s="4" t="s">
        <v>95</v>
      </c>
      <c r="B28" s="5" t="s">
        <v>105</v>
      </c>
      <c r="C28" s="6" t="s">
        <v>23</v>
      </c>
      <c r="D28" s="7" t="n">
        <v>1489</v>
      </c>
      <c r="E28" s="8" t="n">
        <f aca="false">IF(D28="","",IF(D28&lt;Параметры!$B$4,CEILING(D28*Параметры!$B$5,100)-10,IF(D28&lt;=Параметры!$B$6,CEILING(D28*Параметры!$B$7,100)-10,CEILING(D28*Параметры!$B$8,100)-10)))</f>
        <v>2990</v>
      </c>
      <c r="F28" s="8" t="n">
        <f aca="false">IF(D28="","",ROUND(E28*(1-Параметры!$B$9-Параметры!$B$10-Параметры!$B$11)-D28,0))</f>
        <v>1067</v>
      </c>
      <c r="G28" s="9" t="s">
        <v>103</v>
      </c>
      <c r="H28" s="9" t="s">
        <v>63</v>
      </c>
      <c r="I28" s="9" t="s">
        <v>43</v>
      </c>
      <c r="J28" s="9" t="n">
        <v>2026</v>
      </c>
      <c r="K28" s="7" t="n">
        <v>31</v>
      </c>
      <c r="L28" s="11"/>
      <c r="M28" s="12" t="s">
        <v>27</v>
      </c>
      <c r="N28" s="6" t="s">
        <v>106</v>
      </c>
      <c r="O28" s="13"/>
      <c r="P28" s="9" t="str">
        <f aca="false">IF(COUNTIFS($G$5:$G$72,G28,$H$5:$H$72,H28,$I$5:$I$72,I28,$C$5:$C$72,C28)&gt;1,"повтор","")</f>
        <v/>
      </c>
      <c r="Q28" s="9" t="str">
        <f aca="false">IF(C28&lt;&gt;"1:24","",IF(D28="","проверить",IF(D28&lt;=Параметры!$B$12,"ок","дороже лимита")))</f>
        <v/>
      </c>
      <c r="R28" s="14" t="s">
        <v>99</v>
      </c>
    </row>
    <row r="29" customFormat="false" ht="15" hidden="false" customHeight="false" outlineLevel="0" collapsed="false">
      <c r="A29" s="4" t="s">
        <v>107</v>
      </c>
      <c r="B29" s="5" t="s">
        <v>108</v>
      </c>
      <c r="C29" s="6" t="s">
        <v>109</v>
      </c>
      <c r="D29" s="7" t="n">
        <v>2682</v>
      </c>
      <c r="E29" s="8" t="n">
        <f aca="false">IF(D29="","",IF(D29&lt;Параметры!$B$4,CEILING(D29*Параметры!$B$5,100)-10,IF(D29&lt;=Параметры!$B$6,CEILING(D29*Параметры!$B$7,100)-10,CEILING(D29*Параметры!$B$8,100)-10)))</f>
        <v>4290</v>
      </c>
      <c r="F29" s="8" t="n">
        <f aca="false">IF(D29="","",ROUND(E29*(1-Параметры!$B$9-Параметры!$B$10-Параметры!$B$11)-D29,0))</f>
        <v>986</v>
      </c>
      <c r="G29" s="9" t="s">
        <v>110</v>
      </c>
      <c r="H29" s="9" t="s">
        <v>36</v>
      </c>
      <c r="I29" s="9" t="s">
        <v>111</v>
      </c>
      <c r="J29" s="9" t="n">
        <v>2023</v>
      </c>
      <c r="K29" s="7" t="n">
        <v>653</v>
      </c>
      <c r="L29" s="11" t="n">
        <v>4.9</v>
      </c>
      <c r="M29" s="12" t="s">
        <v>27</v>
      </c>
      <c r="N29" s="6" t="s">
        <v>112</v>
      </c>
      <c r="O29" s="13"/>
      <c r="P29" s="9" t="str">
        <f aca="false">IF(COUNTIFS($G$5:$G$72,G29,$H$5:$H$72,H29,$I$5:$I$72,I29,$C$5:$C$72,C29)&gt;1,"повтор","")</f>
        <v/>
      </c>
      <c r="Q29" s="9" t="str">
        <f aca="false">IF(C29&lt;&gt;"1:24","",IF(D29="","проверить",IF(D29&lt;=Параметры!$B$12,"ок","дороже лимита")))</f>
        <v>ок</v>
      </c>
      <c r="R29" s="14" t="s">
        <v>113</v>
      </c>
    </row>
    <row r="30" customFormat="false" ht="15" hidden="false" customHeight="false" outlineLevel="0" collapsed="false">
      <c r="A30" s="4" t="s">
        <v>107</v>
      </c>
      <c r="B30" s="5" t="s">
        <v>114</v>
      </c>
      <c r="C30" s="6" t="s">
        <v>109</v>
      </c>
      <c r="D30" s="7" t="n">
        <v>2312</v>
      </c>
      <c r="E30" s="8" t="n">
        <f aca="false">IF(D30="","",IF(D30&lt;Параметры!$B$4,CEILING(D30*Параметры!$B$5,100)-10,IF(D30&lt;=Параметры!$B$6,CEILING(D30*Параметры!$B$7,100)-10,CEILING(D30*Параметры!$B$8,100)-10)))</f>
        <v>3690</v>
      </c>
      <c r="F30" s="8" t="n">
        <f aca="false">IF(D30="","",ROUND(E30*(1-Параметры!$B$9-Параметры!$B$10-Параметры!$B$11)-D30,0))</f>
        <v>843</v>
      </c>
      <c r="G30" s="9" t="s">
        <v>115</v>
      </c>
      <c r="H30" s="9" t="s">
        <v>116</v>
      </c>
      <c r="I30" s="9" t="s">
        <v>43</v>
      </c>
      <c r="J30" s="9" t="n">
        <v>2024</v>
      </c>
      <c r="K30" s="7" t="n">
        <v>651</v>
      </c>
      <c r="L30" s="11" t="n">
        <v>4.9</v>
      </c>
      <c r="M30" s="12" t="s">
        <v>27</v>
      </c>
      <c r="N30" s="6" t="s">
        <v>117</v>
      </c>
      <c r="O30" s="13" t="s">
        <v>118</v>
      </c>
      <c r="P30" s="9" t="str">
        <f aca="false">IF(COUNTIFS($G$5:$G$72,G30,$H$5:$H$72,H30,$I$5:$I$72,I30,$C$5:$C$72,C30)&gt;1,"повтор","")</f>
        <v/>
      </c>
      <c r="Q30" s="9" t="str">
        <f aca="false">IF(C30&lt;&gt;"1:24","",IF(D30="","проверить",IF(D30&lt;=Параметры!$B$12,"ок","дороже лимита")))</f>
        <v>ок</v>
      </c>
      <c r="R30" s="14"/>
    </row>
    <row r="31" customFormat="false" ht="15" hidden="false" customHeight="false" outlineLevel="0" collapsed="false">
      <c r="A31" s="4" t="s">
        <v>107</v>
      </c>
      <c r="B31" s="5" t="s">
        <v>119</v>
      </c>
      <c r="C31" s="6" t="s">
        <v>109</v>
      </c>
      <c r="D31" s="7" t="n">
        <v>2409</v>
      </c>
      <c r="E31" s="8" t="n">
        <f aca="false">IF(D31="","",IF(D31&lt;Параметры!$B$4,CEILING(D31*Параметры!$B$5,100)-10,IF(D31&lt;=Параметры!$B$6,CEILING(D31*Параметры!$B$7,100)-10,CEILING(D31*Параметры!$B$8,100)-10)))</f>
        <v>3890</v>
      </c>
      <c r="F31" s="8" t="n">
        <f aca="false">IF(D31="","",ROUND(E31*(1-Параметры!$B$9-Параметры!$B$10-Параметры!$B$11)-D31,0))</f>
        <v>917</v>
      </c>
      <c r="G31" s="9" t="s">
        <v>115</v>
      </c>
      <c r="H31" s="9" t="s">
        <v>36</v>
      </c>
      <c r="I31" s="9" t="s">
        <v>43</v>
      </c>
      <c r="J31" s="9" t="n">
        <v>2024</v>
      </c>
      <c r="K31" s="7" t="n">
        <v>78</v>
      </c>
      <c r="L31" s="11" t="n">
        <v>4.9</v>
      </c>
      <c r="M31" s="12" t="s">
        <v>27</v>
      </c>
      <c r="N31" s="6" t="s">
        <v>120</v>
      </c>
      <c r="O31" s="13" t="s">
        <v>121</v>
      </c>
      <c r="P31" s="9" t="str">
        <f aca="false">IF(COUNTIFS($G$5:$G$72,G31,$H$5:$H$72,H31,$I$5:$I$72,I31,$C$5:$C$72,C31)&gt;1,"повтор","")</f>
        <v/>
      </c>
      <c r="Q31" s="9" t="str">
        <f aca="false">IF(C31&lt;&gt;"1:24","",IF(D31="","проверить",IF(D31&lt;=Параметры!$B$12,"ок","дороже лимита")))</f>
        <v>ок</v>
      </c>
      <c r="R31" s="14"/>
    </row>
    <row r="32" customFormat="false" ht="15" hidden="false" customHeight="false" outlineLevel="0" collapsed="false">
      <c r="A32" s="4" t="s">
        <v>107</v>
      </c>
      <c r="B32" s="5" t="s">
        <v>122</v>
      </c>
      <c r="C32" s="6" t="s">
        <v>109</v>
      </c>
      <c r="D32" s="7" t="n">
        <v>2421</v>
      </c>
      <c r="E32" s="8" t="n">
        <f aca="false">IF(D32="","",IF(D32&lt;Параметры!$B$4,CEILING(D32*Параметры!$B$5,100)-10,IF(D32&lt;=Параметры!$B$6,CEILING(D32*Параметры!$B$7,100)-10,CEILING(D32*Параметры!$B$8,100)-10)))</f>
        <v>3890</v>
      </c>
      <c r="F32" s="8" t="n">
        <f aca="false">IF(D32="","",ROUND(E32*(1-Параметры!$B$9-Параметры!$B$10-Параметры!$B$11)-D32,0))</f>
        <v>905</v>
      </c>
      <c r="G32" s="9" t="s">
        <v>123</v>
      </c>
      <c r="H32" s="9" t="s">
        <v>50</v>
      </c>
      <c r="I32" s="9" t="s">
        <v>43</v>
      </c>
      <c r="J32" s="9" t="n">
        <v>2024</v>
      </c>
      <c r="K32" s="7" t="n">
        <v>78</v>
      </c>
      <c r="L32" s="11" t="n">
        <v>4.9</v>
      </c>
      <c r="M32" s="12" t="s">
        <v>27</v>
      </c>
      <c r="N32" s="6" t="s">
        <v>124</v>
      </c>
      <c r="O32" s="13" t="s">
        <v>125</v>
      </c>
      <c r="P32" s="9" t="str">
        <f aca="false">IF(COUNTIFS($G$5:$G$72,G32,$H$5:$H$72,H32,$I$5:$I$72,I32,$C$5:$C$72,C32)&gt;1,"повтор","")</f>
        <v/>
      </c>
      <c r="Q32" s="9" t="str">
        <f aca="false">IF(C32&lt;&gt;"1:24","",IF(D32="","проверить",IF(D32&lt;=Параметры!$B$12,"ок","дороже лимита")))</f>
        <v>ок</v>
      </c>
      <c r="R32" s="14"/>
    </row>
    <row r="33" customFormat="false" ht="22.35" hidden="false" customHeight="false" outlineLevel="0" collapsed="false">
      <c r="A33" s="4" t="s">
        <v>107</v>
      </c>
      <c r="B33" s="5" t="s">
        <v>126</v>
      </c>
      <c r="C33" s="6" t="s">
        <v>109</v>
      </c>
      <c r="D33" s="7" t="n">
        <v>2679</v>
      </c>
      <c r="E33" s="8" t="n">
        <f aca="false">IF(D33="","",IF(D33&lt;Параметры!$B$4,CEILING(D33*Параметры!$B$5,100)-10,IF(D33&lt;=Параметры!$B$6,CEILING(D33*Параметры!$B$7,100)-10,CEILING(D33*Параметры!$B$8,100)-10)))</f>
        <v>4290</v>
      </c>
      <c r="F33" s="8" t="n">
        <f aca="false">IF(D33="","",ROUND(E33*(1-Параметры!$B$9-Параметры!$B$10-Параметры!$B$11)-D33,0))</f>
        <v>989</v>
      </c>
      <c r="G33" s="9" t="s">
        <v>123</v>
      </c>
      <c r="H33" s="9" t="s">
        <v>50</v>
      </c>
      <c r="I33" s="10" t="s">
        <v>127</v>
      </c>
      <c r="J33" s="9" t="n">
        <v>2024</v>
      </c>
      <c r="K33" s="7" t="n">
        <v>653</v>
      </c>
      <c r="L33" s="11" t="n">
        <v>4.9</v>
      </c>
      <c r="M33" s="12" t="s">
        <v>27</v>
      </c>
      <c r="N33" s="6" t="s">
        <v>128</v>
      </c>
      <c r="O33" s="13"/>
      <c r="P33" s="9" t="str">
        <f aca="false">IF(COUNTIFS($G$5:$G$72,G33,$H$5:$H$72,H33,$I$5:$I$72,I33,$C$5:$C$72,C33)&gt;1,"повтор","")</f>
        <v/>
      </c>
      <c r="Q33" s="9" t="str">
        <f aca="false">IF(C33&lt;&gt;"1:24","",IF(D33="","проверить",IF(D33&lt;=Параметры!$B$12,"ок","дороже лимита")))</f>
        <v>ок</v>
      </c>
      <c r="R33" s="14" t="s">
        <v>129</v>
      </c>
    </row>
    <row r="34" customFormat="false" ht="15" hidden="false" customHeight="false" outlineLevel="0" collapsed="false">
      <c r="A34" s="4" t="s">
        <v>107</v>
      </c>
      <c r="B34" s="5" t="s">
        <v>130</v>
      </c>
      <c r="C34" s="6" t="s">
        <v>109</v>
      </c>
      <c r="D34" s="7" t="n">
        <v>2439</v>
      </c>
      <c r="E34" s="8" t="n">
        <f aca="false">IF(D34="","",IF(D34&lt;Параметры!$B$4,CEILING(D34*Параметры!$B$5,100)-10,IF(D34&lt;=Параметры!$B$6,CEILING(D34*Параметры!$B$7,100)-10,CEILING(D34*Параметры!$B$8,100)-10)))</f>
        <v>3990</v>
      </c>
      <c r="F34" s="8" t="n">
        <f aca="false">IF(D34="","",ROUND(E34*(1-Параметры!$B$9-Параметры!$B$10-Параметры!$B$11)-D34,0))</f>
        <v>972</v>
      </c>
      <c r="G34" s="9" t="s">
        <v>123</v>
      </c>
      <c r="H34" s="9" t="s">
        <v>131</v>
      </c>
      <c r="I34" s="9" t="s">
        <v>43</v>
      </c>
      <c r="J34" s="9" t="n">
        <v>2024</v>
      </c>
      <c r="K34" s="7" t="n">
        <v>78</v>
      </c>
      <c r="L34" s="11" t="n">
        <v>4.9</v>
      </c>
      <c r="M34" s="12" t="s">
        <v>27</v>
      </c>
      <c r="N34" s="6" t="s">
        <v>132</v>
      </c>
      <c r="O34" s="13"/>
      <c r="P34" s="9" t="str">
        <f aca="false">IF(COUNTIFS($G$5:$G$72,G34,$H$5:$H$72,H34,$I$5:$I$72,I34,$C$5:$C$72,C34)&gt;1,"повтор","")</f>
        <v/>
      </c>
      <c r="Q34" s="9" t="str">
        <f aca="false">IF(C34&lt;&gt;"1:24","",IF(D34="","проверить",IF(D34&lt;=Параметры!$B$12,"ок","дороже лимита")))</f>
        <v>ок</v>
      </c>
      <c r="R34" s="14"/>
    </row>
    <row r="35" customFormat="false" ht="15" hidden="false" customHeight="false" outlineLevel="0" collapsed="false">
      <c r="A35" s="4" t="s">
        <v>107</v>
      </c>
      <c r="B35" s="5" t="s">
        <v>133</v>
      </c>
      <c r="C35" s="6" t="s">
        <v>109</v>
      </c>
      <c r="D35" s="7" t="n">
        <v>2509</v>
      </c>
      <c r="E35" s="8" t="n">
        <f aca="false">IF(D35="","",IF(D35&lt;Параметры!$B$4,CEILING(D35*Параметры!$B$5,100)-10,IF(D35&lt;=Параметры!$B$6,CEILING(D35*Параметры!$B$7,100)-10,CEILING(D35*Параметры!$B$8,100)-10)))</f>
        <v>4090</v>
      </c>
      <c r="F35" s="8" t="n">
        <f aca="false">IF(D35="","",ROUND(E35*(1-Параметры!$B$9-Параметры!$B$10-Параметры!$B$11)-D35,0))</f>
        <v>988</v>
      </c>
      <c r="G35" s="9" t="s">
        <v>134</v>
      </c>
      <c r="H35" s="9" t="s">
        <v>42</v>
      </c>
      <c r="I35" s="9" t="s">
        <v>43</v>
      </c>
      <c r="J35" s="9" t="n">
        <v>2024</v>
      </c>
      <c r="K35" s="7" t="n">
        <v>651</v>
      </c>
      <c r="L35" s="11" t="n">
        <v>4.9</v>
      </c>
      <c r="M35" s="12" t="s">
        <v>27</v>
      </c>
      <c r="N35" s="6" t="s">
        <v>135</v>
      </c>
      <c r="O35" s="13" t="s">
        <v>136</v>
      </c>
      <c r="P35" s="9" t="str">
        <f aca="false">IF(COUNTIFS($G$5:$G$72,G35,$H$5:$H$72,H35,$I$5:$I$72,I35,$C$5:$C$72,C35)&gt;1,"повтор","")</f>
        <v/>
      </c>
      <c r="Q35" s="9" t="str">
        <f aca="false">IF(C35&lt;&gt;"1:24","",IF(D35="","проверить",IF(D35&lt;=Параметры!$B$12,"ок","дороже лимита")))</f>
        <v>ок</v>
      </c>
      <c r="R35" s="14"/>
    </row>
    <row r="36" customFormat="false" ht="15" hidden="false" customHeight="false" outlineLevel="0" collapsed="false">
      <c r="A36" s="4" t="s">
        <v>107</v>
      </c>
      <c r="B36" s="5" t="s">
        <v>137</v>
      </c>
      <c r="C36" s="6" t="s">
        <v>109</v>
      </c>
      <c r="D36" s="7" t="n">
        <v>2509</v>
      </c>
      <c r="E36" s="8" t="n">
        <f aca="false">IF(D36="","",IF(D36&lt;Параметры!$B$4,CEILING(D36*Параметры!$B$5,100)-10,IF(D36&lt;=Параметры!$B$6,CEILING(D36*Параметры!$B$7,100)-10,CEILING(D36*Параметры!$B$8,100)-10)))</f>
        <v>4090</v>
      </c>
      <c r="F36" s="8" t="n">
        <f aca="false">IF(D36="","",ROUND(E36*(1-Параметры!$B$9-Параметры!$B$10-Параметры!$B$11)-D36,0))</f>
        <v>988</v>
      </c>
      <c r="G36" s="9" t="s">
        <v>134</v>
      </c>
      <c r="H36" s="9" t="s">
        <v>63</v>
      </c>
      <c r="I36" s="9" t="s">
        <v>43</v>
      </c>
      <c r="J36" s="9" t="n">
        <v>2024</v>
      </c>
      <c r="K36" s="7" t="n">
        <v>651</v>
      </c>
      <c r="L36" s="11" t="n">
        <v>4.9</v>
      </c>
      <c r="M36" s="12" t="s">
        <v>27</v>
      </c>
      <c r="N36" s="6" t="s">
        <v>138</v>
      </c>
      <c r="O36" s="13"/>
      <c r="P36" s="9" t="str">
        <f aca="false">IF(COUNTIFS($G$5:$G$72,G36,$H$5:$H$72,H36,$I$5:$I$72,I36,$C$5:$C$72,C36)&gt;1,"повтор","")</f>
        <v/>
      </c>
      <c r="Q36" s="9" t="str">
        <f aca="false">IF(C36&lt;&gt;"1:24","",IF(D36="","проверить",IF(D36&lt;=Параметры!$B$12,"ок","дороже лимита")))</f>
        <v>ок</v>
      </c>
      <c r="R36" s="14"/>
    </row>
    <row r="37" customFormat="false" ht="15" hidden="false" customHeight="false" outlineLevel="0" collapsed="false">
      <c r="A37" s="4" t="s">
        <v>107</v>
      </c>
      <c r="B37" s="5" t="s">
        <v>139</v>
      </c>
      <c r="C37" s="6" t="s">
        <v>109</v>
      </c>
      <c r="D37" s="7" t="n">
        <v>2092</v>
      </c>
      <c r="E37" s="8" t="n">
        <f aca="false">IF(D37="","",IF(D37&lt;Параметры!$B$4,CEILING(D37*Параметры!$B$5,100)-10,IF(D37&lt;=Параметры!$B$6,CEILING(D37*Параметры!$B$7,100)-10,CEILING(D37*Параметры!$B$8,100)-10)))</f>
        <v>3390</v>
      </c>
      <c r="F37" s="8" t="n">
        <f aca="false">IF(D37="","",ROUND(E37*(1-Параметры!$B$9-Параметры!$B$10-Параметры!$B$11)-D37,0))</f>
        <v>806</v>
      </c>
      <c r="G37" s="9" t="s">
        <v>140</v>
      </c>
      <c r="H37" s="9" t="s">
        <v>70</v>
      </c>
      <c r="I37" s="9" t="s">
        <v>141</v>
      </c>
      <c r="J37" s="9" t="n">
        <v>2024</v>
      </c>
      <c r="K37" s="7" t="n">
        <v>45</v>
      </c>
      <c r="L37" s="11" t="n">
        <v>5</v>
      </c>
      <c r="M37" s="12" t="s">
        <v>27</v>
      </c>
      <c r="N37" s="6" t="s">
        <v>142</v>
      </c>
      <c r="O37" s="13"/>
      <c r="P37" s="9" t="str">
        <f aca="false">IF(COUNTIFS($G$5:$G$72,G37,$H$5:$H$72,H37,$I$5:$I$72,I37,$C$5:$C$72,C37)&gt;1,"повтор","")</f>
        <v/>
      </c>
      <c r="Q37" s="9" t="str">
        <f aca="false">IF(C37&lt;&gt;"1:24","",IF(D37="","проверить",IF(D37&lt;=Параметры!$B$12,"ок","дороже лимита")))</f>
        <v>ок</v>
      </c>
      <c r="R37" s="14" t="s">
        <v>143</v>
      </c>
    </row>
    <row r="38" customFormat="false" ht="15" hidden="false" customHeight="false" outlineLevel="0" collapsed="false">
      <c r="A38" s="4" t="s">
        <v>107</v>
      </c>
      <c r="B38" s="5" t="s">
        <v>144</v>
      </c>
      <c r="C38" s="6" t="s">
        <v>109</v>
      </c>
      <c r="D38" s="7" t="n">
        <v>2549</v>
      </c>
      <c r="E38" s="8" t="n">
        <f aca="false">IF(D38="","",IF(D38&lt;Параметры!$B$4,CEILING(D38*Параметры!$B$5,100)-10,IF(D38&lt;=Параметры!$B$6,CEILING(D38*Параметры!$B$7,100)-10,CEILING(D38*Параметры!$B$8,100)-10)))</f>
        <v>4090</v>
      </c>
      <c r="F38" s="8" t="n">
        <f aca="false">IF(D38="","",ROUND(E38*(1-Параметры!$B$9-Параметры!$B$10-Параметры!$B$11)-D38,0))</f>
        <v>948</v>
      </c>
      <c r="G38" s="9" t="s">
        <v>140</v>
      </c>
      <c r="H38" s="9" t="s">
        <v>75</v>
      </c>
      <c r="I38" s="9" t="s">
        <v>43</v>
      </c>
      <c r="J38" s="9" t="n">
        <v>2024</v>
      </c>
      <c r="K38" s="7" t="n">
        <v>651</v>
      </c>
      <c r="L38" s="11" t="n">
        <v>4.9</v>
      </c>
      <c r="M38" s="12" t="s">
        <v>27</v>
      </c>
      <c r="N38" s="6" t="s">
        <v>145</v>
      </c>
      <c r="O38" s="13"/>
      <c r="P38" s="9" t="str">
        <f aca="false">IF(COUNTIFS($G$5:$G$72,G38,$H$5:$H$72,H38,$I$5:$I$72,I38,$C$5:$C$72,C38)&gt;1,"повтор","")</f>
        <v/>
      </c>
      <c r="Q38" s="9" t="str">
        <f aca="false">IF(C38&lt;&gt;"1:24","",IF(D38="","проверить",IF(D38&lt;=Параметры!$B$12,"ок","дороже лимита")))</f>
        <v>ок</v>
      </c>
      <c r="R38" s="14"/>
    </row>
    <row r="39" customFormat="false" ht="15" hidden="false" customHeight="false" outlineLevel="0" collapsed="false">
      <c r="A39" s="4" t="s">
        <v>107</v>
      </c>
      <c r="B39" s="5" t="s">
        <v>146</v>
      </c>
      <c r="C39" s="6" t="s">
        <v>109</v>
      </c>
      <c r="D39" s="7" t="n">
        <v>2092</v>
      </c>
      <c r="E39" s="8" t="n">
        <f aca="false">IF(D39="","",IF(D39&lt;Параметры!$B$4,CEILING(D39*Параметры!$B$5,100)-10,IF(D39&lt;=Параметры!$B$6,CEILING(D39*Параметры!$B$7,100)-10,CEILING(D39*Параметры!$B$8,100)-10)))</f>
        <v>3390</v>
      </c>
      <c r="F39" s="8" t="n">
        <f aca="false">IF(D39="","",ROUND(E39*(1-Параметры!$B$9-Параметры!$B$10-Параметры!$B$11)-D39,0))</f>
        <v>806</v>
      </c>
      <c r="G39" s="9" t="s">
        <v>140</v>
      </c>
      <c r="H39" s="9" t="s">
        <v>75</v>
      </c>
      <c r="I39" s="9" t="s">
        <v>141</v>
      </c>
      <c r="J39" s="9" t="n">
        <v>2024</v>
      </c>
      <c r="K39" s="7" t="n">
        <v>45</v>
      </c>
      <c r="L39" s="11" t="n">
        <v>5</v>
      </c>
      <c r="M39" s="12" t="s">
        <v>27</v>
      </c>
      <c r="N39" s="6" t="s">
        <v>147</v>
      </c>
      <c r="O39" s="13"/>
      <c r="P39" s="9" t="str">
        <f aca="false">IF(COUNTIFS($G$5:$G$72,G39,$H$5:$H$72,H39,$I$5:$I$72,I39,$C$5:$C$72,C39)&gt;1,"повтор","")</f>
        <v/>
      </c>
      <c r="Q39" s="9" t="str">
        <f aca="false">IF(C39&lt;&gt;"1:24","",IF(D39="","проверить",IF(D39&lt;=Параметры!$B$12,"ок","дороже лимита")))</f>
        <v>ок</v>
      </c>
      <c r="R39" s="14" t="s">
        <v>143</v>
      </c>
    </row>
    <row r="40" customFormat="false" ht="15" hidden="false" customHeight="false" outlineLevel="0" collapsed="false">
      <c r="A40" s="4" t="s">
        <v>107</v>
      </c>
      <c r="B40" s="5" t="s">
        <v>79</v>
      </c>
      <c r="C40" s="6" t="s">
        <v>109</v>
      </c>
      <c r="D40" s="7" t="n">
        <v>2631</v>
      </c>
      <c r="E40" s="8" t="n">
        <f aca="false">IF(D40="","",IF(D40&lt;Параметры!$B$4,CEILING(D40*Параметры!$B$5,100)-10,IF(D40&lt;=Параметры!$B$6,CEILING(D40*Параметры!$B$7,100)-10,CEILING(D40*Параметры!$B$8,100)-10)))</f>
        <v>4290</v>
      </c>
      <c r="F40" s="8" t="n">
        <f aca="false">IF(D40="","",ROUND(E40*(1-Параметры!$B$9-Параметры!$B$10-Параметры!$B$11)-D40,0))</f>
        <v>1037</v>
      </c>
      <c r="G40" s="9" t="s">
        <v>80</v>
      </c>
      <c r="H40" s="9" t="s">
        <v>81</v>
      </c>
      <c r="I40" s="9" t="s">
        <v>43</v>
      </c>
      <c r="J40" s="9" t="n">
        <v>2025</v>
      </c>
      <c r="K40" s="7" t="n">
        <v>78</v>
      </c>
      <c r="L40" s="11" t="n">
        <v>4.9</v>
      </c>
      <c r="M40" s="12" t="s">
        <v>27</v>
      </c>
      <c r="N40" s="6" t="s">
        <v>148</v>
      </c>
      <c r="O40" s="13"/>
      <c r="P40" s="9" t="str">
        <f aca="false">IF(COUNTIFS($G$5:$G$72,G40,$H$5:$H$72,H40,$I$5:$I$72,I40,$C$5:$C$72,C40)&gt;1,"повтор","")</f>
        <v/>
      </c>
      <c r="Q40" s="9" t="str">
        <f aca="false">IF(C40&lt;&gt;"1:24","",IF(D40="","проверить",IF(D40&lt;=Параметры!$B$12,"ок","дороже лимита")))</f>
        <v>ок</v>
      </c>
      <c r="R40" s="14"/>
    </row>
    <row r="41" customFormat="false" ht="15" hidden="false" customHeight="false" outlineLevel="0" collapsed="false">
      <c r="A41" s="4" t="s">
        <v>107</v>
      </c>
      <c r="B41" s="5" t="s">
        <v>83</v>
      </c>
      <c r="C41" s="6" t="s">
        <v>109</v>
      </c>
      <c r="D41" s="7" t="n">
        <v>2401</v>
      </c>
      <c r="E41" s="8" t="n">
        <f aca="false">IF(D41="","",IF(D41&lt;Параметры!$B$4,CEILING(D41*Параметры!$B$5,100)-10,IF(D41&lt;=Параметры!$B$6,CEILING(D41*Параметры!$B$7,100)-10,CEILING(D41*Параметры!$B$8,100)-10)))</f>
        <v>3890</v>
      </c>
      <c r="F41" s="8" t="n">
        <f aca="false">IF(D41="","",ROUND(E41*(1-Параметры!$B$9-Параметры!$B$10-Параметры!$B$11)-D41,0))</f>
        <v>925</v>
      </c>
      <c r="G41" s="9" t="s">
        <v>80</v>
      </c>
      <c r="H41" s="9" t="s">
        <v>84</v>
      </c>
      <c r="I41" s="9" t="s">
        <v>43</v>
      </c>
      <c r="J41" s="9" t="n">
        <v>2025</v>
      </c>
      <c r="K41" s="7" t="n">
        <v>78</v>
      </c>
      <c r="L41" s="11" t="n">
        <v>4.9</v>
      </c>
      <c r="M41" s="12" t="s">
        <v>27</v>
      </c>
      <c r="N41" s="6" t="s">
        <v>149</v>
      </c>
      <c r="O41" s="13" t="s">
        <v>150</v>
      </c>
      <c r="P41" s="9" t="str">
        <f aca="false">IF(COUNTIFS($G$5:$G$72,G41,$H$5:$H$72,H41,$I$5:$I$72,I41,$C$5:$C$72,C41)&gt;1,"повтор","")</f>
        <v/>
      </c>
      <c r="Q41" s="9" t="str">
        <f aca="false">IF(C41&lt;&gt;"1:24","",IF(D41="","проверить",IF(D41&lt;=Параметры!$B$12,"ок","дороже лимита")))</f>
        <v>ок</v>
      </c>
      <c r="R41" s="14"/>
    </row>
    <row r="42" customFormat="false" ht="22.35" hidden="false" customHeight="false" outlineLevel="0" collapsed="false">
      <c r="A42" s="4" t="s">
        <v>151</v>
      </c>
      <c r="B42" s="5" t="s">
        <v>152</v>
      </c>
      <c r="C42" s="6" t="s">
        <v>109</v>
      </c>
      <c r="D42" s="7" t="n">
        <v>1588</v>
      </c>
      <c r="E42" s="8" t="n">
        <f aca="false">IF(D42="","",IF(D42&lt;Параметры!$B$4,CEILING(D42*Параметры!$B$5,100)-10,IF(D42&lt;=Параметры!$B$6,CEILING(D42*Параметры!$B$7,100)-10,CEILING(D42*Параметры!$B$8,100)-10)))</f>
        <v>2590</v>
      </c>
      <c r="F42" s="8" t="n">
        <f aca="false">IF(D42="","",ROUND(E42*(1-Параметры!$B$9-Параметры!$B$10-Параметры!$B$11)-D42,0))</f>
        <v>626</v>
      </c>
      <c r="G42" s="9" t="s">
        <v>87</v>
      </c>
      <c r="H42" s="9" t="s">
        <v>153</v>
      </c>
      <c r="I42" s="9" t="s">
        <v>154</v>
      </c>
      <c r="J42" s="9" t="n">
        <v>2025</v>
      </c>
      <c r="K42" s="7" t="n">
        <v>268</v>
      </c>
      <c r="L42" s="11" t="n">
        <v>4.9</v>
      </c>
      <c r="M42" s="12" t="s">
        <v>27</v>
      </c>
      <c r="N42" s="15" t="s">
        <v>155</v>
      </c>
      <c r="O42" s="13"/>
      <c r="P42" s="9" t="str">
        <f aca="false">IF(COUNTIFS($G$5:$G$72,G42,$H$5:$H$72,H42,$I$5:$I$72,I42,$C$5:$C$72,C42)&gt;1,"повтор","")</f>
        <v/>
      </c>
      <c r="Q42" s="9" t="str">
        <f aca="false">IF(C42&lt;&gt;"1:24","",IF(D42="","проверить",IF(D42&lt;=Параметры!$B$12,"ок","дороже лимита")))</f>
        <v>ок</v>
      </c>
      <c r="R42" s="14" t="s">
        <v>156</v>
      </c>
    </row>
    <row r="43" customFormat="false" ht="22.35" hidden="false" customHeight="false" outlineLevel="0" collapsed="false">
      <c r="A43" s="4" t="s">
        <v>151</v>
      </c>
      <c r="B43" s="5" t="s">
        <v>157</v>
      </c>
      <c r="C43" s="6" t="s">
        <v>109</v>
      </c>
      <c r="D43" s="7" t="n">
        <v>1822</v>
      </c>
      <c r="E43" s="8" t="n">
        <f aca="false">IF(D43="","",IF(D43&lt;Параметры!$B$4,CEILING(D43*Параметры!$B$5,100)-10,IF(D43&lt;=Параметры!$B$6,CEILING(D43*Параметры!$B$7,100)-10,CEILING(D43*Параметры!$B$8,100)-10)))</f>
        <v>2990</v>
      </c>
      <c r="F43" s="8" t="n">
        <f aca="false">IF(D43="","",ROUND(E43*(1-Параметры!$B$9-Параметры!$B$10-Параметры!$B$11)-D43,0))</f>
        <v>734</v>
      </c>
      <c r="G43" s="9" t="s">
        <v>158</v>
      </c>
      <c r="H43" s="9" t="s">
        <v>153</v>
      </c>
      <c r="I43" s="9" t="s">
        <v>154</v>
      </c>
      <c r="J43" s="9" t="n">
        <v>2024</v>
      </c>
      <c r="K43" s="7" t="n">
        <v>340</v>
      </c>
      <c r="L43" s="11" t="n">
        <v>4.7</v>
      </c>
      <c r="M43" s="12" t="s">
        <v>27</v>
      </c>
      <c r="N43" s="15" t="s">
        <v>155</v>
      </c>
      <c r="O43" s="13"/>
      <c r="P43" s="9" t="str">
        <f aca="false">IF(COUNTIFS($G$5:$G$72,G43,$H$5:$H$72,H43,$I$5:$I$72,I43,$C$5:$C$72,C43)&gt;1,"повтор","")</f>
        <v/>
      </c>
      <c r="Q43" s="9" t="str">
        <f aca="false">IF(C43&lt;&gt;"1:24","",IF(D43="","проверить",IF(D43&lt;=Параметры!$B$12,"ок","дороже лимита")))</f>
        <v>ок</v>
      </c>
      <c r="R43" s="14" t="s">
        <v>159</v>
      </c>
    </row>
    <row r="44" customFormat="false" ht="22.35" hidden="false" customHeight="false" outlineLevel="0" collapsed="false">
      <c r="A44" s="4" t="s">
        <v>151</v>
      </c>
      <c r="B44" s="5" t="s">
        <v>160</v>
      </c>
      <c r="C44" s="6" t="s">
        <v>161</v>
      </c>
      <c r="D44" s="7" t="n">
        <v>10614</v>
      </c>
      <c r="E44" s="8" t="n">
        <f aca="false">IF(D44="","",IF(D44&lt;Параметры!$B$4,CEILING(D44*Параметры!$B$5,100)-10,IF(D44&lt;=Параметры!$B$6,CEILING(D44*Параметры!$B$7,100)-10,CEILING(D44*Параметры!$B$8,100)-10)))</f>
        <v>14390</v>
      </c>
      <c r="F44" s="8" t="n">
        <f aca="false">IF(D44="","",ROUND(E44*(1-Параметры!$B$9-Параметры!$B$10-Параметры!$B$11)-D44,0))</f>
        <v>1689</v>
      </c>
      <c r="G44" s="9" t="s">
        <v>158</v>
      </c>
      <c r="H44" s="9" t="s">
        <v>153</v>
      </c>
      <c r="I44" s="9" t="s">
        <v>154</v>
      </c>
      <c r="J44" s="9" t="n">
        <v>2024</v>
      </c>
      <c r="K44" s="7" t="n">
        <v>494</v>
      </c>
      <c r="L44" s="11" t="n">
        <v>4.5</v>
      </c>
      <c r="M44" s="12" t="s">
        <v>27</v>
      </c>
      <c r="N44" s="15" t="s">
        <v>155</v>
      </c>
      <c r="O44" s="13"/>
      <c r="P44" s="9" t="str">
        <f aca="false">IF(COUNTIFS($G$5:$G$72,G44,$H$5:$H$72,H44,$I$5:$I$72,I44,$C$5:$C$72,C44)&gt;1,"повтор","")</f>
        <v/>
      </c>
      <c r="Q44" s="9" t="str">
        <f aca="false">IF(C44&lt;&gt;"1:24","",IF(D44="","проверить",IF(D44&lt;=Параметры!$B$12,"ок","дороже лимита")))</f>
        <v/>
      </c>
      <c r="R44" s="14" t="s">
        <v>162</v>
      </c>
    </row>
    <row r="45" customFormat="false" ht="22.35" hidden="false" customHeight="false" outlineLevel="0" collapsed="false">
      <c r="A45" s="4" t="s">
        <v>163</v>
      </c>
      <c r="B45" s="5" t="s">
        <v>164</v>
      </c>
      <c r="C45" s="6" t="s">
        <v>161</v>
      </c>
      <c r="D45" s="7" t="n">
        <v>1747</v>
      </c>
      <c r="E45" s="8" t="n">
        <f aca="false">IF(D45="","",IF(D45&lt;Параметры!$B$4,CEILING(D45*Параметры!$B$5,100)-10,IF(D45&lt;=Параметры!$B$6,CEILING(D45*Параметры!$B$7,100)-10,CEILING(D45*Параметры!$B$8,100)-10)))</f>
        <v>2790</v>
      </c>
      <c r="F45" s="8" t="n">
        <f aca="false">IF(D45="","",ROUND(E45*(1-Параметры!$B$9-Параметры!$B$10-Параметры!$B$11)-D45,0))</f>
        <v>638</v>
      </c>
      <c r="G45" s="9" t="s">
        <v>123</v>
      </c>
      <c r="H45" s="9" t="s">
        <v>153</v>
      </c>
      <c r="I45" s="9" t="s">
        <v>165</v>
      </c>
      <c r="J45" s="9" t="n">
        <v>2024</v>
      </c>
      <c r="K45" s="16" t="n">
        <v>1000</v>
      </c>
      <c r="L45" s="11" t="n">
        <v>4.9</v>
      </c>
      <c r="M45" s="12" t="s">
        <v>27</v>
      </c>
      <c r="N45" s="15" t="s">
        <v>155</v>
      </c>
      <c r="O45" s="13"/>
      <c r="P45" s="9" t="str">
        <f aca="false">IF(COUNTIFS($G$5:$G$72,G45,$H$5:$H$72,H45,$I$5:$I$72,I45,$C$5:$C$72,C45)&gt;1,"повтор","")</f>
        <v/>
      </c>
      <c r="Q45" s="9" t="str">
        <f aca="false">IF(C45&lt;&gt;"1:24","",IF(D45="","проверить",IF(D45&lt;=Параметры!$B$12,"ок","дороже лимита")))</f>
        <v/>
      </c>
      <c r="R45" s="14" t="s">
        <v>166</v>
      </c>
    </row>
    <row r="46" customFormat="false" ht="15" hidden="false" customHeight="false" outlineLevel="0" collapsed="false">
      <c r="A46" s="4" t="s">
        <v>163</v>
      </c>
      <c r="B46" s="5" t="s">
        <v>167</v>
      </c>
      <c r="C46" s="6" t="s">
        <v>161</v>
      </c>
      <c r="D46" s="7" t="n">
        <v>1747</v>
      </c>
      <c r="E46" s="8" t="n">
        <f aca="false">IF(D46="","",IF(D46&lt;Параметры!$B$4,CEILING(D46*Параметры!$B$5,100)-10,IF(D46&lt;=Параметры!$B$6,CEILING(D46*Параметры!$B$7,100)-10,CEILING(D46*Параметры!$B$8,100)-10)))</f>
        <v>2790</v>
      </c>
      <c r="F46" s="8" t="n">
        <f aca="false">IF(D46="","",ROUND(E46*(1-Параметры!$B$9-Параметры!$B$10-Параметры!$B$11)-D46,0))</f>
        <v>638</v>
      </c>
      <c r="G46" s="9" t="s">
        <v>115</v>
      </c>
      <c r="H46" s="9" t="s">
        <v>153</v>
      </c>
      <c r="I46" s="9" t="s">
        <v>165</v>
      </c>
      <c r="J46" s="9" t="n">
        <v>2024</v>
      </c>
      <c r="K46" s="16" t="n">
        <v>1000</v>
      </c>
      <c r="L46" s="11" t="n">
        <v>4.9</v>
      </c>
      <c r="M46" s="12" t="s">
        <v>27</v>
      </c>
      <c r="N46" s="15" t="s">
        <v>155</v>
      </c>
      <c r="O46" s="13"/>
      <c r="P46" s="9" t="str">
        <f aca="false">IF(COUNTIFS($G$5:$G$72,G46,$H$5:$H$72,H46,$I$5:$I$72,I46,$C$5:$C$72,C46)&gt;1,"повтор","")</f>
        <v/>
      </c>
      <c r="Q46" s="9" t="str">
        <f aca="false">IF(C46&lt;&gt;"1:24","",IF(D46="","проверить",IF(D46&lt;=Параметры!$B$12,"ок","дороже лимита")))</f>
        <v/>
      </c>
      <c r="R46" s="14" t="s">
        <v>168</v>
      </c>
    </row>
    <row r="47" customFormat="false" ht="22.35" hidden="false" customHeight="false" outlineLevel="0" collapsed="false">
      <c r="A47" s="4" t="s">
        <v>163</v>
      </c>
      <c r="B47" s="5" t="s">
        <v>169</v>
      </c>
      <c r="C47" s="6" t="s">
        <v>161</v>
      </c>
      <c r="D47" s="7" t="n">
        <v>3563</v>
      </c>
      <c r="E47" s="8" t="n">
        <f aca="false">IF(D47="","",IF(D47&lt;Параметры!$B$4,CEILING(D47*Параметры!$B$5,100)-10,IF(D47&lt;=Параметры!$B$6,CEILING(D47*Параметры!$B$7,100)-10,CEILING(D47*Параметры!$B$8,100)-10)))</f>
        <v>5790</v>
      </c>
      <c r="F47" s="8" t="n">
        <f aca="false">IF(D47="","",ROUND(E47*(1-Параметры!$B$9-Параметры!$B$10-Параметры!$B$11)-D47,0))</f>
        <v>1387</v>
      </c>
      <c r="G47" s="9" t="s">
        <v>69</v>
      </c>
      <c r="H47" s="9" t="s">
        <v>153</v>
      </c>
      <c r="I47" s="9" t="s">
        <v>165</v>
      </c>
      <c r="J47" s="9" t="n">
        <v>2025</v>
      </c>
      <c r="K47" s="7" t="n">
        <v>600</v>
      </c>
      <c r="L47" s="11" t="n">
        <v>4.9</v>
      </c>
      <c r="M47" s="12" t="s">
        <v>27</v>
      </c>
      <c r="N47" s="15" t="s">
        <v>155</v>
      </c>
      <c r="O47" s="13"/>
      <c r="P47" s="9" t="str">
        <f aca="false">IF(COUNTIFS($G$5:$G$72,G47,$H$5:$H$72,H47,$I$5:$I$72,I47,$C$5:$C$72,C47)&gt;1,"повтор","")</f>
        <v/>
      </c>
      <c r="Q47" s="9" t="str">
        <f aca="false">IF(C47&lt;&gt;"1:24","",IF(D47="","проверить",IF(D47&lt;=Параметры!$B$12,"ок","дороже лимита")))</f>
        <v/>
      </c>
      <c r="R47" s="14" t="s">
        <v>170</v>
      </c>
    </row>
    <row r="48" customFormat="false" ht="15" hidden="false" customHeight="false" outlineLevel="0" collapsed="false">
      <c r="A48" s="4" t="s">
        <v>163</v>
      </c>
      <c r="B48" s="5" t="s">
        <v>171</v>
      </c>
      <c r="C48" s="6" t="s">
        <v>161</v>
      </c>
      <c r="D48" s="7" t="n">
        <v>1423</v>
      </c>
      <c r="E48" s="8" t="n">
        <f aca="false">IF(D48="","",IF(D48&lt;Параметры!$B$4,CEILING(D48*Параметры!$B$5,100)-10,IF(D48&lt;=Параметры!$B$6,CEILING(D48*Параметры!$B$7,100)-10,CEILING(D48*Параметры!$B$8,100)-10)))</f>
        <v>2890</v>
      </c>
      <c r="F48" s="8" t="n">
        <f aca="false">IF(D48="","",ROUND(E48*(1-Параметры!$B$9-Параметры!$B$10-Параметры!$B$11)-D48,0))</f>
        <v>1048</v>
      </c>
      <c r="G48" s="9" t="s">
        <v>172</v>
      </c>
      <c r="H48" s="9" t="s">
        <v>153</v>
      </c>
      <c r="I48" s="9" t="s">
        <v>165</v>
      </c>
      <c r="J48" s="9" t="n">
        <v>2023</v>
      </c>
      <c r="K48" s="7" t="n">
        <v>700</v>
      </c>
      <c r="L48" s="17"/>
      <c r="M48" s="12" t="s">
        <v>27</v>
      </c>
      <c r="N48" s="15" t="s">
        <v>155</v>
      </c>
      <c r="O48" s="13"/>
      <c r="P48" s="9" t="str">
        <f aca="false">IF(COUNTIFS($G$5:$G$72,G48,$H$5:$H$72,H48,$I$5:$I$72,I48,$C$5:$C$72,C48)&gt;1,"повтор","")</f>
        <v/>
      </c>
      <c r="Q48" s="9" t="str">
        <f aca="false">IF(C48&lt;&gt;"1:24","",IF(D48="","проверить",IF(D48&lt;=Параметры!$B$12,"ок","дороже лимита")))</f>
        <v/>
      </c>
      <c r="R48" s="14" t="s">
        <v>173</v>
      </c>
    </row>
    <row r="49" customFormat="false" ht="15" hidden="false" customHeight="false" outlineLevel="0" collapsed="false">
      <c r="A49" s="4" t="s">
        <v>163</v>
      </c>
      <c r="B49" s="5" t="s">
        <v>174</v>
      </c>
      <c r="C49" s="6" t="s">
        <v>161</v>
      </c>
      <c r="D49" s="7" t="n">
        <v>2180</v>
      </c>
      <c r="E49" s="8" t="n">
        <f aca="false">IF(D49="","",IF(D49&lt;Параметры!$B$4,CEILING(D49*Параметры!$B$5,100)-10,IF(D49&lt;=Параметры!$B$6,CEILING(D49*Параметры!$B$7,100)-10,CEILING(D49*Параметры!$B$8,100)-10)))</f>
        <v>3490</v>
      </c>
      <c r="F49" s="8" t="n">
        <f aca="false">IF(D49="","",ROUND(E49*(1-Параметры!$B$9-Параметры!$B$10-Параметры!$B$11)-D49,0))</f>
        <v>804</v>
      </c>
      <c r="G49" s="9" t="s">
        <v>41</v>
      </c>
      <c r="H49" s="9" t="s">
        <v>153</v>
      </c>
      <c r="I49" s="9" t="s">
        <v>165</v>
      </c>
      <c r="J49" s="9" t="n">
        <v>2025</v>
      </c>
      <c r="K49" s="7" t="n">
        <v>446</v>
      </c>
      <c r="L49" s="11" t="n">
        <v>4.6</v>
      </c>
      <c r="M49" s="12" t="s">
        <v>27</v>
      </c>
      <c r="N49" s="15" t="s">
        <v>155</v>
      </c>
      <c r="O49" s="13"/>
      <c r="P49" s="9" t="str">
        <f aca="false">IF(COUNTIFS($G$5:$G$72,G49,$H$5:$H$72,H49,$I$5:$I$72,I49,$C$5:$C$72,C49)&gt;1,"повтор","")</f>
        <v/>
      </c>
      <c r="Q49" s="9" t="str">
        <f aca="false">IF(C49&lt;&gt;"1:24","",IF(D49="","проверить",IF(D49&lt;=Параметры!$B$12,"ок","дороже лимита")))</f>
        <v/>
      </c>
      <c r="R49" s="14" t="s">
        <v>175</v>
      </c>
    </row>
    <row r="50" customFormat="false" ht="22.35" hidden="false" customHeight="false" outlineLevel="0" collapsed="false">
      <c r="A50" s="4" t="s">
        <v>163</v>
      </c>
      <c r="B50" s="5" t="s">
        <v>176</v>
      </c>
      <c r="C50" s="6" t="s">
        <v>161</v>
      </c>
      <c r="D50" s="7" t="n">
        <v>2006</v>
      </c>
      <c r="E50" s="8" t="n">
        <f aca="false">IF(D50="","",IF(D50&lt;Параметры!$B$4,CEILING(D50*Параметры!$B$5,100)-10,IF(D50&lt;=Параметры!$B$6,CEILING(D50*Параметры!$B$7,100)-10,CEILING(D50*Параметры!$B$8,100)-10)))</f>
        <v>3290</v>
      </c>
      <c r="F50" s="8" t="n">
        <f aca="false">IF(D50="","",ROUND(E50*(1-Параметры!$B$9-Параметры!$B$10-Параметры!$B$11)-D50,0))</f>
        <v>807</v>
      </c>
      <c r="G50" s="9" t="s">
        <v>24</v>
      </c>
      <c r="H50" s="9" t="s">
        <v>153</v>
      </c>
      <c r="I50" s="9" t="s">
        <v>165</v>
      </c>
      <c r="J50" s="9" t="n">
        <v>2025</v>
      </c>
      <c r="K50" s="16" t="n">
        <v>1000</v>
      </c>
      <c r="L50" s="11" t="n">
        <v>4.8</v>
      </c>
      <c r="M50" s="12" t="s">
        <v>27</v>
      </c>
      <c r="N50" s="15" t="s">
        <v>155</v>
      </c>
      <c r="O50" s="13"/>
      <c r="P50" s="9" t="str">
        <f aca="false">IF(COUNTIFS($G$5:$G$72,G50,$H$5:$H$72,H50,$I$5:$I$72,I50,$C$5:$C$72,C50)&gt;1,"повтор","")</f>
        <v/>
      </c>
      <c r="Q50" s="9" t="str">
        <f aca="false">IF(C50&lt;&gt;"1:24","",IF(D50="","проверить",IF(D50&lt;=Параметры!$B$12,"ок","дороже лимита")))</f>
        <v/>
      </c>
      <c r="R50" s="14" t="s">
        <v>177</v>
      </c>
    </row>
    <row r="51" customFormat="false" ht="22.35" hidden="false" customHeight="false" outlineLevel="0" collapsed="false">
      <c r="A51" s="4" t="s">
        <v>163</v>
      </c>
      <c r="B51" s="5" t="s">
        <v>178</v>
      </c>
      <c r="C51" s="6" t="s">
        <v>161</v>
      </c>
      <c r="D51" s="7" t="n">
        <v>1904</v>
      </c>
      <c r="E51" s="8" t="n">
        <f aca="false">IF(D51="","",IF(D51&lt;Параметры!$B$4,CEILING(D51*Параметры!$B$5,100)-10,IF(D51&lt;=Параметры!$B$6,CEILING(D51*Параметры!$B$7,100)-10,CEILING(D51*Параметры!$B$8,100)-10)))</f>
        <v>3090</v>
      </c>
      <c r="F51" s="8" t="n">
        <f aca="false">IF(D51="","",ROUND(E51*(1-Параметры!$B$9-Параметры!$B$10-Параметры!$B$11)-D51,0))</f>
        <v>738</v>
      </c>
      <c r="G51" s="9" t="s">
        <v>80</v>
      </c>
      <c r="H51" s="9" t="s">
        <v>153</v>
      </c>
      <c r="I51" s="9" t="s">
        <v>165</v>
      </c>
      <c r="J51" s="9" t="n">
        <v>2025</v>
      </c>
      <c r="K51" s="7" t="n">
        <v>116</v>
      </c>
      <c r="L51" s="17"/>
      <c r="M51" s="12" t="s">
        <v>27</v>
      </c>
      <c r="N51" s="15" t="s">
        <v>155</v>
      </c>
      <c r="O51" s="13"/>
      <c r="P51" s="9" t="str">
        <f aca="false">IF(COUNTIFS($G$5:$G$72,G51,$H$5:$H$72,H51,$I$5:$I$72,I51,$C$5:$C$72,C51)&gt;1,"повтор","")</f>
        <v/>
      </c>
      <c r="Q51" s="9" t="str">
        <f aca="false">IF(C51&lt;&gt;"1:24","",IF(D51="","проверить",IF(D51&lt;=Параметры!$B$12,"ок","дороже лимита")))</f>
        <v/>
      </c>
      <c r="R51" s="14" t="s">
        <v>179</v>
      </c>
    </row>
    <row r="52" customFormat="false" ht="15" hidden="false" customHeight="false" outlineLevel="0" collapsed="false">
      <c r="A52" s="4" t="s">
        <v>180</v>
      </c>
      <c r="B52" s="5" t="s">
        <v>181</v>
      </c>
      <c r="C52" s="6" t="s">
        <v>182</v>
      </c>
      <c r="D52" s="7" t="n">
        <v>629</v>
      </c>
      <c r="E52" s="8" t="n">
        <f aca="false">IF(D52="","",IF(D52&lt;Параметры!$B$4,CEILING(D52*Параметры!$B$5,100)-10,IF(D52&lt;=Параметры!$B$6,CEILING(D52*Параметры!$B$7,100)-10,CEILING(D52*Параметры!$B$8,100)-10)))</f>
        <v>1290</v>
      </c>
      <c r="F52" s="8" t="n">
        <f aca="false">IF(D52="","",ROUND(E52*(1-Параметры!$B$9-Параметры!$B$10-Параметры!$B$11)-D52,0))</f>
        <v>474</v>
      </c>
      <c r="G52" s="9" t="s">
        <v>183</v>
      </c>
      <c r="H52" s="9" t="s">
        <v>153</v>
      </c>
      <c r="I52" s="9" t="s">
        <v>153</v>
      </c>
      <c r="J52" s="9" t="n">
        <v>1974</v>
      </c>
      <c r="K52" s="7" t="n">
        <v>112</v>
      </c>
      <c r="L52" s="11" t="n">
        <v>4.4</v>
      </c>
      <c r="M52" s="12" t="s">
        <v>27</v>
      </c>
      <c r="N52" s="6" t="s">
        <v>184</v>
      </c>
      <c r="O52" s="13"/>
      <c r="P52" s="9" t="str">
        <f aca="false">IF(COUNTIFS($G$5:$G$72,G52,$H$5:$H$72,H52,$I$5:$I$72,I52,$C$5:$C$72,C52)&gt;1,"повтор","")</f>
        <v/>
      </c>
      <c r="Q52" s="9" t="str">
        <f aca="false">IF(C52&lt;&gt;"1:24","",IF(D52="","проверить",IF(D52&lt;=Параметры!$B$12,"ок","дороже лимита")))</f>
        <v/>
      </c>
      <c r="R52" s="14" t="s">
        <v>185</v>
      </c>
    </row>
    <row r="53" customFormat="false" ht="15" hidden="false" customHeight="false" outlineLevel="0" collapsed="false">
      <c r="A53" s="4" t="s">
        <v>180</v>
      </c>
      <c r="B53" s="5" t="s">
        <v>186</v>
      </c>
      <c r="C53" s="6" t="s">
        <v>182</v>
      </c>
      <c r="D53" s="7" t="n">
        <v>629</v>
      </c>
      <c r="E53" s="8" t="n">
        <f aca="false">IF(D53="","",IF(D53&lt;Параметры!$B$4,CEILING(D53*Параметры!$B$5,100)-10,IF(D53&lt;=Параметры!$B$6,CEILING(D53*Параметры!$B$7,100)-10,CEILING(D53*Параметры!$B$8,100)-10)))</f>
        <v>1290</v>
      </c>
      <c r="F53" s="8" t="n">
        <f aca="false">IF(D53="","",ROUND(E53*(1-Параметры!$B$9-Параметры!$B$10-Параметры!$B$11)-D53,0))</f>
        <v>474</v>
      </c>
      <c r="G53" s="9" t="s">
        <v>187</v>
      </c>
      <c r="H53" s="9" t="s">
        <v>153</v>
      </c>
      <c r="I53" s="9" t="s">
        <v>153</v>
      </c>
      <c r="J53" s="9" t="n">
        <v>2008</v>
      </c>
      <c r="K53" s="7" t="n">
        <v>112</v>
      </c>
      <c r="L53" s="11" t="n">
        <v>4.4</v>
      </c>
      <c r="M53" s="12" t="s">
        <v>27</v>
      </c>
      <c r="N53" s="6" t="s">
        <v>188</v>
      </c>
      <c r="O53" s="13"/>
      <c r="P53" s="9" t="str">
        <f aca="false">IF(COUNTIFS($G$5:$G$72,G53,$H$5:$H$72,H53,$I$5:$I$72,I53,$C$5:$C$72,C53)&gt;1,"повтор","")</f>
        <v/>
      </c>
      <c r="Q53" s="9" t="str">
        <f aca="false">IF(C53&lt;&gt;"1:24","",IF(D53="","проверить",IF(D53&lt;=Параметры!$B$12,"ок","дороже лимита")))</f>
        <v/>
      </c>
      <c r="R53" s="14" t="s">
        <v>185</v>
      </c>
    </row>
    <row r="54" customFormat="false" ht="15" hidden="false" customHeight="false" outlineLevel="0" collapsed="false">
      <c r="A54" s="4" t="s">
        <v>180</v>
      </c>
      <c r="B54" s="5" t="s">
        <v>189</v>
      </c>
      <c r="C54" s="6" t="s">
        <v>182</v>
      </c>
      <c r="D54" s="7" t="n">
        <v>629</v>
      </c>
      <c r="E54" s="8" t="n">
        <f aca="false">IF(D54="","",IF(D54&lt;Параметры!$B$4,CEILING(D54*Параметры!$B$5,100)-10,IF(D54&lt;=Параметры!$B$6,CEILING(D54*Параметры!$B$7,100)-10,CEILING(D54*Параметры!$B$8,100)-10)))</f>
        <v>1290</v>
      </c>
      <c r="F54" s="8" t="n">
        <f aca="false">IF(D54="","",ROUND(E54*(1-Параметры!$B$9-Параметры!$B$10-Параметры!$B$11)-D54,0))</f>
        <v>474</v>
      </c>
      <c r="G54" s="9" t="s">
        <v>190</v>
      </c>
      <c r="H54" s="9" t="s">
        <v>153</v>
      </c>
      <c r="I54" s="9" t="s">
        <v>153</v>
      </c>
      <c r="J54" s="9" t="n">
        <v>2019</v>
      </c>
      <c r="K54" s="7" t="n">
        <v>112</v>
      </c>
      <c r="L54" s="11" t="n">
        <v>4.4</v>
      </c>
      <c r="M54" s="12" t="s">
        <v>27</v>
      </c>
      <c r="N54" s="6" t="s">
        <v>191</v>
      </c>
      <c r="O54" s="13"/>
      <c r="P54" s="9" t="str">
        <f aca="false">IF(COUNTIFS($G$5:$G$72,G54,$H$5:$H$72,H54,$I$5:$I$72,I54,$C$5:$C$72,C54)&gt;1,"повтор","")</f>
        <v/>
      </c>
      <c r="Q54" s="9" t="str">
        <f aca="false">IF(C54&lt;&gt;"1:24","",IF(D54="","проверить",IF(D54&lt;=Параметры!$B$12,"ок","дороже лимита")))</f>
        <v/>
      </c>
      <c r="R54" s="14" t="s">
        <v>185</v>
      </c>
    </row>
    <row r="55" customFormat="false" ht="15" hidden="false" customHeight="false" outlineLevel="0" collapsed="false">
      <c r="A55" s="4" t="s">
        <v>180</v>
      </c>
      <c r="B55" s="5" t="s">
        <v>192</v>
      </c>
      <c r="C55" s="6" t="s">
        <v>182</v>
      </c>
      <c r="D55" s="7" t="n">
        <v>629</v>
      </c>
      <c r="E55" s="8" t="n">
        <f aca="false">IF(D55="","",IF(D55&lt;Параметры!$B$4,CEILING(D55*Параметры!$B$5,100)-10,IF(D55&lt;=Параметры!$B$6,CEILING(D55*Параметры!$B$7,100)-10,CEILING(D55*Параметры!$B$8,100)-10)))</f>
        <v>1290</v>
      </c>
      <c r="F55" s="8" t="n">
        <f aca="false">IF(D55="","",ROUND(E55*(1-Параметры!$B$9-Параметры!$B$10-Параметры!$B$11)-D55,0))</f>
        <v>474</v>
      </c>
      <c r="G55" s="9" t="s">
        <v>193</v>
      </c>
      <c r="H55" s="9" t="s">
        <v>153</v>
      </c>
      <c r="I55" s="9" t="s">
        <v>153</v>
      </c>
      <c r="J55" s="9" t="n">
        <v>1986</v>
      </c>
      <c r="K55" s="7" t="n">
        <v>112</v>
      </c>
      <c r="L55" s="11" t="n">
        <v>4.4</v>
      </c>
      <c r="M55" s="12" t="s">
        <v>27</v>
      </c>
      <c r="N55" s="6" t="s">
        <v>194</v>
      </c>
      <c r="O55" s="13"/>
      <c r="P55" s="9" t="str">
        <f aca="false">IF(COUNTIFS($G$5:$G$72,G55,$H$5:$H$72,H55,$I$5:$I$72,I55,$C$5:$C$72,C55)&gt;1,"повтор","")</f>
        <v/>
      </c>
      <c r="Q55" s="9" t="str">
        <f aca="false">IF(C55&lt;&gt;"1:24","",IF(D55="","проверить",IF(D55&lt;=Параметры!$B$12,"ок","дороже лимита")))</f>
        <v/>
      </c>
      <c r="R55" s="14" t="s">
        <v>185</v>
      </c>
    </row>
    <row r="56" customFormat="false" ht="15" hidden="false" customHeight="false" outlineLevel="0" collapsed="false">
      <c r="A56" s="4" t="s">
        <v>180</v>
      </c>
      <c r="B56" s="5" t="s">
        <v>195</v>
      </c>
      <c r="C56" s="6" t="s">
        <v>182</v>
      </c>
      <c r="D56" s="7" t="n">
        <v>629</v>
      </c>
      <c r="E56" s="8" t="n">
        <f aca="false">IF(D56="","",IF(D56&lt;Параметры!$B$4,CEILING(D56*Параметры!$B$5,100)-10,IF(D56&lt;=Параметры!$B$6,CEILING(D56*Параметры!$B$7,100)-10,CEILING(D56*Параметры!$B$8,100)-10)))</f>
        <v>1290</v>
      </c>
      <c r="F56" s="8" t="n">
        <f aca="false">IF(D56="","",ROUND(E56*(1-Параметры!$B$9-Параметры!$B$10-Параметры!$B$11)-D56,0))</f>
        <v>474</v>
      </c>
      <c r="G56" s="9" t="s">
        <v>196</v>
      </c>
      <c r="H56" s="9" t="s">
        <v>153</v>
      </c>
      <c r="I56" s="9" t="s">
        <v>153</v>
      </c>
      <c r="J56" s="9" t="n">
        <v>2020</v>
      </c>
      <c r="K56" s="7" t="n">
        <v>112</v>
      </c>
      <c r="L56" s="11" t="n">
        <v>4.4</v>
      </c>
      <c r="M56" s="12" t="s">
        <v>27</v>
      </c>
      <c r="N56" s="6" t="s">
        <v>197</v>
      </c>
      <c r="O56" s="13"/>
      <c r="P56" s="9" t="str">
        <f aca="false">IF(COUNTIFS($G$5:$G$72,G56,$H$5:$H$72,H56,$I$5:$I$72,I56,$C$5:$C$72,C56)&gt;1,"повтор","")</f>
        <v/>
      </c>
      <c r="Q56" s="9" t="str">
        <f aca="false">IF(C56&lt;&gt;"1:24","",IF(D56="","проверить",IF(D56&lt;=Параметры!$B$12,"ок","дороже лимита")))</f>
        <v/>
      </c>
      <c r="R56" s="14" t="s">
        <v>185</v>
      </c>
    </row>
    <row r="57" customFormat="false" ht="15" hidden="false" customHeight="false" outlineLevel="0" collapsed="false">
      <c r="A57" s="4" t="s">
        <v>180</v>
      </c>
      <c r="B57" s="5" t="s">
        <v>198</v>
      </c>
      <c r="C57" s="6" t="s">
        <v>182</v>
      </c>
      <c r="D57" s="7" t="n">
        <v>629</v>
      </c>
      <c r="E57" s="8" t="n">
        <f aca="false">IF(D57="","",IF(D57&lt;Параметры!$B$4,CEILING(D57*Параметры!$B$5,100)-10,IF(D57&lt;=Параметры!$B$6,CEILING(D57*Параметры!$B$7,100)-10,CEILING(D57*Параметры!$B$8,100)-10)))</f>
        <v>1290</v>
      </c>
      <c r="F57" s="8" t="n">
        <f aca="false">IF(D57="","",ROUND(E57*(1-Параметры!$B$9-Параметры!$B$10-Параметры!$B$11)-D57,0))</f>
        <v>474</v>
      </c>
      <c r="G57" s="9" t="s">
        <v>199</v>
      </c>
      <c r="H57" s="9" t="s">
        <v>153</v>
      </c>
      <c r="I57" s="9" t="s">
        <v>153</v>
      </c>
      <c r="J57" s="9" t="n">
        <v>1987</v>
      </c>
      <c r="K57" s="7" t="n">
        <v>112</v>
      </c>
      <c r="L57" s="11" t="n">
        <v>4.4</v>
      </c>
      <c r="M57" s="12" t="s">
        <v>27</v>
      </c>
      <c r="N57" s="6" t="s">
        <v>200</v>
      </c>
      <c r="O57" s="13"/>
      <c r="P57" s="9" t="str">
        <f aca="false">IF(COUNTIFS($G$5:$G$72,G57,$H$5:$H$72,H57,$I$5:$I$72,I57,$C$5:$C$72,C57)&gt;1,"повтор","")</f>
        <v/>
      </c>
      <c r="Q57" s="9" t="str">
        <f aca="false">IF(C57&lt;&gt;"1:24","",IF(D57="","проверить",IF(D57&lt;=Параметры!$B$12,"ок","дороже лимита")))</f>
        <v/>
      </c>
      <c r="R57" s="14" t="s">
        <v>185</v>
      </c>
    </row>
    <row r="58" customFormat="false" ht="15" hidden="false" customHeight="false" outlineLevel="0" collapsed="false">
      <c r="A58" s="4" t="s">
        <v>180</v>
      </c>
      <c r="B58" s="5" t="s">
        <v>201</v>
      </c>
      <c r="C58" s="6" t="s">
        <v>182</v>
      </c>
      <c r="D58" s="7" t="n">
        <v>629</v>
      </c>
      <c r="E58" s="8" t="n">
        <f aca="false">IF(D58="","",IF(D58&lt;Параметры!$B$4,CEILING(D58*Параметры!$B$5,100)-10,IF(D58&lt;=Параметры!$B$6,CEILING(D58*Параметры!$B$7,100)-10,CEILING(D58*Параметры!$B$8,100)-10)))</f>
        <v>1290</v>
      </c>
      <c r="F58" s="8" t="n">
        <f aca="false">IF(D58="","",ROUND(E58*(1-Параметры!$B$9-Параметры!$B$10-Параметры!$B$11)-D58,0))</f>
        <v>474</v>
      </c>
      <c r="G58" s="9" t="s">
        <v>202</v>
      </c>
      <c r="H58" s="9" t="s">
        <v>153</v>
      </c>
      <c r="I58" s="9" t="s">
        <v>153</v>
      </c>
      <c r="J58" s="9" t="n">
        <v>1991</v>
      </c>
      <c r="K58" s="7" t="n">
        <v>112</v>
      </c>
      <c r="L58" s="11" t="n">
        <v>4.4</v>
      </c>
      <c r="M58" s="12" t="s">
        <v>27</v>
      </c>
      <c r="N58" s="6" t="s">
        <v>203</v>
      </c>
      <c r="O58" s="13"/>
      <c r="P58" s="9" t="str">
        <f aca="false">IF(COUNTIFS($G$5:$G$72,G58,$H$5:$H$72,H58,$I$5:$I$72,I58,$C$5:$C$72,C58)&gt;1,"повтор","")</f>
        <v/>
      </c>
      <c r="Q58" s="9" t="str">
        <f aca="false">IF(C58&lt;&gt;"1:24","",IF(D58="","проверить",IF(D58&lt;=Параметры!$B$12,"ок","дороже лимита")))</f>
        <v/>
      </c>
      <c r="R58" s="14" t="s">
        <v>185</v>
      </c>
    </row>
    <row r="59" customFormat="false" ht="15" hidden="false" customHeight="false" outlineLevel="0" collapsed="false">
      <c r="A59" s="4" t="s">
        <v>180</v>
      </c>
      <c r="B59" s="5" t="s">
        <v>204</v>
      </c>
      <c r="C59" s="6" t="s">
        <v>182</v>
      </c>
      <c r="D59" s="7" t="n">
        <v>629</v>
      </c>
      <c r="E59" s="8" t="n">
        <f aca="false">IF(D59="","",IF(D59&lt;Параметры!$B$4,CEILING(D59*Параметры!$B$5,100)-10,IF(D59&lt;=Параметры!$B$6,CEILING(D59*Параметры!$B$7,100)-10,CEILING(D59*Параметры!$B$8,100)-10)))</f>
        <v>1290</v>
      </c>
      <c r="F59" s="8" t="n">
        <f aca="false">IF(D59="","",ROUND(E59*(1-Параметры!$B$9-Параметры!$B$10-Параметры!$B$11)-D59,0))</f>
        <v>474</v>
      </c>
      <c r="G59" s="9" t="s">
        <v>205</v>
      </c>
      <c r="H59" s="9" t="s">
        <v>153</v>
      </c>
      <c r="I59" s="9" t="s">
        <v>153</v>
      </c>
      <c r="J59" s="9" t="n">
        <v>2019</v>
      </c>
      <c r="K59" s="7" t="n">
        <v>112</v>
      </c>
      <c r="L59" s="11" t="n">
        <v>4.4</v>
      </c>
      <c r="M59" s="12" t="s">
        <v>27</v>
      </c>
      <c r="N59" s="6" t="s">
        <v>206</v>
      </c>
      <c r="O59" s="13"/>
      <c r="P59" s="9" t="str">
        <f aca="false">IF(COUNTIFS($G$5:$G$72,G59,$H$5:$H$72,H59,$I$5:$I$72,I59,$C$5:$C$72,C59)&gt;1,"повтор","")</f>
        <v/>
      </c>
      <c r="Q59" s="9" t="str">
        <f aca="false">IF(C59&lt;&gt;"1:24","",IF(D59="","проверить",IF(D59&lt;=Параметры!$B$12,"ок","дороже лимита")))</f>
        <v/>
      </c>
      <c r="R59" s="14" t="s">
        <v>185</v>
      </c>
    </row>
    <row r="60" customFormat="false" ht="15" hidden="false" customHeight="false" outlineLevel="0" collapsed="false">
      <c r="A60" s="4" t="s">
        <v>180</v>
      </c>
      <c r="B60" s="5" t="s">
        <v>207</v>
      </c>
      <c r="C60" s="6" t="s">
        <v>182</v>
      </c>
      <c r="D60" s="7" t="n">
        <v>629</v>
      </c>
      <c r="E60" s="8" t="n">
        <f aca="false">IF(D60="","",IF(D60&lt;Параметры!$B$4,CEILING(D60*Параметры!$B$5,100)-10,IF(D60&lt;=Параметры!$B$6,CEILING(D60*Параметры!$B$7,100)-10,CEILING(D60*Параметры!$B$8,100)-10)))</f>
        <v>1290</v>
      </c>
      <c r="F60" s="8" t="n">
        <f aca="false">IF(D60="","",ROUND(E60*(1-Параметры!$B$9-Параметры!$B$10-Параметры!$B$11)-D60,0))</f>
        <v>474</v>
      </c>
      <c r="G60" s="9" t="s">
        <v>208</v>
      </c>
      <c r="H60" s="9" t="s">
        <v>153</v>
      </c>
      <c r="I60" s="9" t="s">
        <v>153</v>
      </c>
      <c r="J60" s="9" t="n">
        <v>1990</v>
      </c>
      <c r="K60" s="7" t="n">
        <v>112</v>
      </c>
      <c r="L60" s="11" t="n">
        <v>4.4</v>
      </c>
      <c r="M60" s="12" t="s">
        <v>27</v>
      </c>
      <c r="N60" s="6" t="s">
        <v>209</v>
      </c>
      <c r="O60" s="13"/>
      <c r="P60" s="9" t="str">
        <f aca="false">IF(COUNTIFS($G$5:$G$72,G60,$H$5:$H$72,H60,$I$5:$I$72,I60,$C$5:$C$72,C60)&gt;1,"повтор","")</f>
        <v/>
      </c>
      <c r="Q60" s="9" t="str">
        <f aca="false">IF(C60&lt;&gt;"1:24","",IF(D60="","проверить",IF(D60&lt;=Параметры!$B$12,"ок","дороже лимита")))</f>
        <v/>
      </c>
      <c r="R60" s="14" t="s">
        <v>185</v>
      </c>
    </row>
    <row r="61" customFormat="false" ht="15" hidden="false" customHeight="false" outlineLevel="0" collapsed="false">
      <c r="A61" s="4" t="s">
        <v>180</v>
      </c>
      <c r="B61" s="5" t="s">
        <v>210</v>
      </c>
      <c r="C61" s="6" t="s">
        <v>182</v>
      </c>
      <c r="D61" s="7" t="n">
        <v>629</v>
      </c>
      <c r="E61" s="8" t="n">
        <f aca="false">IF(D61="","",IF(D61&lt;Параметры!$B$4,CEILING(D61*Параметры!$B$5,100)-10,IF(D61&lt;=Параметры!$B$6,CEILING(D61*Параметры!$B$7,100)-10,CEILING(D61*Параметры!$B$8,100)-10)))</f>
        <v>1290</v>
      </c>
      <c r="F61" s="8" t="n">
        <f aca="false">IF(D61="","",ROUND(E61*(1-Параметры!$B$9-Параметры!$B$10-Параметры!$B$11)-D61,0))</f>
        <v>474</v>
      </c>
      <c r="G61" s="9" t="s">
        <v>211</v>
      </c>
      <c r="H61" s="9" t="s">
        <v>153</v>
      </c>
      <c r="I61" s="9" t="s">
        <v>153</v>
      </c>
      <c r="J61" s="9" t="n">
        <v>1988</v>
      </c>
      <c r="K61" s="7" t="n">
        <v>112</v>
      </c>
      <c r="L61" s="11" t="n">
        <v>4.4</v>
      </c>
      <c r="M61" s="12" t="s">
        <v>27</v>
      </c>
      <c r="N61" s="6" t="s">
        <v>212</v>
      </c>
      <c r="O61" s="13"/>
      <c r="P61" s="9" t="str">
        <f aca="false">IF(COUNTIFS($G$5:$G$72,G61,$H$5:$H$72,H61,$I$5:$I$72,I61,$C$5:$C$72,C61)&gt;1,"повтор","")</f>
        <v/>
      </c>
      <c r="Q61" s="9" t="str">
        <f aca="false">IF(C61&lt;&gt;"1:24","",IF(D61="","проверить",IF(D61&lt;=Параметры!$B$12,"ок","дороже лимита")))</f>
        <v/>
      </c>
      <c r="R61" s="14" t="s">
        <v>185</v>
      </c>
    </row>
    <row r="62" customFormat="false" ht="15" hidden="false" customHeight="false" outlineLevel="0" collapsed="false">
      <c r="A62" s="4" t="s">
        <v>180</v>
      </c>
      <c r="B62" s="5" t="s">
        <v>213</v>
      </c>
      <c r="C62" s="6" t="s">
        <v>182</v>
      </c>
      <c r="D62" s="7" t="n">
        <v>629</v>
      </c>
      <c r="E62" s="8" t="n">
        <f aca="false">IF(D62="","",IF(D62&lt;Параметры!$B$4,CEILING(D62*Параметры!$B$5,100)-10,IF(D62&lt;=Параметры!$B$6,CEILING(D62*Параметры!$B$7,100)-10,CEILING(D62*Параметры!$B$8,100)-10)))</f>
        <v>1290</v>
      </c>
      <c r="F62" s="8" t="n">
        <f aca="false">IF(D62="","",ROUND(E62*(1-Параметры!$B$9-Параметры!$B$10-Параметры!$B$11)-D62,0))</f>
        <v>474</v>
      </c>
      <c r="G62" s="9" t="s">
        <v>214</v>
      </c>
      <c r="H62" s="9" t="s">
        <v>153</v>
      </c>
      <c r="I62" s="9" t="s">
        <v>153</v>
      </c>
      <c r="J62" s="9" t="n">
        <v>1991</v>
      </c>
      <c r="K62" s="7" t="n">
        <v>112</v>
      </c>
      <c r="L62" s="11" t="n">
        <v>4.4</v>
      </c>
      <c r="M62" s="12" t="s">
        <v>27</v>
      </c>
      <c r="N62" s="6" t="s">
        <v>215</v>
      </c>
      <c r="O62" s="13"/>
      <c r="P62" s="9" t="str">
        <f aca="false">IF(COUNTIFS($G$5:$G$72,G62,$H$5:$H$72,H62,$I$5:$I$72,I62,$C$5:$C$72,C62)&gt;1,"повтор","")</f>
        <v/>
      </c>
      <c r="Q62" s="9" t="str">
        <f aca="false">IF(C62&lt;&gt;"1:24","",IF(D62="","проверить",IF(D62&lt;=Параметры!$B$12,"ок","дороже лимита")))</f>
        <v/>
      </c>
      <c r="R62" s="14" t="s">
        <v>185</v>
      </c>
    </row>
    <row r="63" customFormat="false" ht="15" hidden="false" customHeight="false" outlineLevel="0" collapsed="false">
      <c r="A63" s="4" t="s">
        <v>180</v>
      </c>
      <c r="B63" s="5" t="s">
        <v>216</v>
      </c>
      <c r="C63" s="6" t="s">
        <v>182</v>
      </c>
      <c r="D63" s="7" t="n">
        <v>629</v>
      </c>
      <c r="E63" s="8" t="n">
        <f aca="false">IF(D63="","",IF(D63&lt;Параметры!$B$4,CEILING(D63*Параметры!$B$5,100)-10,IF(D63&lt;=Параметры!$B$6,CEILING(D63*Параметры!$B$7,100)-10,CEILING(D63*Параметры!$B$8,100)-10)))</f>
        <v>1290</v>
      </c>
      <c r="F63" s="8" t="n">
        <f aca="false">IF(D63="","",ROUND(E63*(1-Параметры!$B$9-Параметры!$B$10-Параметры!$B$11)-D63,0))</f>
        <v>474</v>
      </c>
      <c r="G63" s="9" t="s">
        <v>217</v>
      </c>
      <c r="H63" s="9" t="s">
        <v>153</v>
      </c>
      <c r="I63" s="9" t="s">
        <v>153</v>
      </c>
      <c r="J63" s="9" t="n">
        <v>2009</v>
      </c>
      <c r="K63" s="7" t="n">
        <v>112</v>
      </c>
      <c r="L63" s="11" t="n">
        <v>4.4</v>
      </c>
      <c r="M63" s="12" t="s">
        <v>27</v>
      </c>
      <c r="N63" s="6" t="s">
        <v>218</v>
      </c>
      <c r="O63" s="13"/>
      <c r="P63" s="9" t="str">
        <f aca="false">IF(COUNTIFS($G$5:$G$72,G63,$H$5:$H$72,H63,$I$5:$I$72,I63,$C$5:$C$72,C63)&gt;1,"повтор","")</f>
        <v/>
      </c>
      <c r="Q63" s="9" t="str">
        <f aca="false">IF(C63&lt;&gt;"1:24","",IF(D63="","проверить",IF(D63&lt;=Параметры!$B$12,"ок","дороже лимита")))</f>
        <v/>
      </c>
      <c r="R63" s="14" t="s">
        <v>185</v>
      </c>
    </row>
    <row r="64" customFormat="false" ht="15" hidden="false" customHeight="false" outlineLevel="0" collapsed="false">
      <c r="A64" s="4" t="s">
        <v>180</v>
      </c>
      <c r="B64" s="5" t="s">
        <v>219</v>
      </c>
      <c r="C64" s="6" t="s">
        <v>182</v>
      </c>
      <c r="D64" s="7" t="n">
        <v>629</v>
      </c>
      <c r="E64" s="8" t="n">
        <f aca="false">IF(D64="","",IF(D64&lt;Параметры!$B$4,CEILING(D64*Параметры!$B$5,100)-10,IF(D64&lt;=Параметры!$B$6,CEILING(D64*Параметры!$B$7,100)-10,CEILING(D64*Параметры!$B$8,100)-10)))</f>
        <v>1290</v>
      </c>
      <c r="F64" s="8" t="n">
        <f aca="false">IF(D64="","",ROUND(E64*(1-Параметры!$B$9-Параметры!$B$10-Параметры!$B$11)-D64,0))</f>
        <v>474</v>
      </c>
      <c r="G64" s="9" t="s">
        <v>220</v>
      </c>
      <c r="H64" s="9" t="s">
        <v>153</v>
      </c>
      <c r="I64" s="9" t="s">
        <v>153</v>
      </c>
      <c r="J64" s="9" t="n">
        <v>1991</v>
      </c>
      <c r="K64" s="7" t="n">
        <v>112</v>
      </c>
      <c r="L64" s="11" t="n">
        <v>4.4</v>
      </c>
      <c r="M64" s="12" t="s">
        <v>27</v>
      </c>
      <c r="N64" s="6" t="s">
        <v>221</v>
      </c>
      <c r="O64" s="13"/>
      <c r="P64" s="9" t="str">
        <f aca="false">IF(COUNTIFS($G$5:$G$72,G64,$H$5:$H$72,H64,$I$5:$I$72,I64,$C$5:$C$72,C64)&gt;1,"повтор","")</f>
        <v/>
      </c>
      <c r="Q64" s="9" t="str">
        <f aca="false">IF(C64&lt;&gt;"1:24","",IF(D64="","проверить",IF(D64&lt;=Параметры!$B$12,"ок","дороже лимита")))</f>
        <v/>
      </c>
      <c r="R64" s="14" t="s">
        <v>185</v>
      </c>
    </row>
    <row r="65" customFormat="false" ht="15" hidden="false" customHeight="false" outlineLevel="0" collapsed="false">
      <c r="A65" s="4" t="s">
        <v>180</v>
      </c>
      <c r="B65" s="5" t="s">
        <v>222</v>
      </c>
      <c r="C65" s="6" t="s">
        <v>182</v>
      </c>
      <c r="D65" s="7" t="n">
        <v>629</v>
      </c>
      <c r="E65" s="8" t="n">
        <f aca="false">IF(D65="","",IF(D65&lt;Параметры!$B$4,CEILING(D65*Параметры!$B$5,100)-10,IF(D65&lt;=Параметры!$B$6,CEILING(D65*Параметры!$B$7,100)-10,CEILING(D65*Параметры!$B$8,100)-10)))</f>
        <v>1290</v>
      </c>
      <c r="F65" s="8" t="n">
        <f aca="false">IF(D65="","",ROUND(E65*(1-Параметры!$B$9-Параметры!$B$10-Параметры!$B$11)-D65,0))</f>
        <v>474</v>
      </c>
      <c r="G65" s="9" t="s">
        <v>223</v>
      </c>
      <c r="H65" s="9" t="s">
        <v>153</v>
      </c>
      <c r="I65" s="9" t="s">
        <v>153</v>
      </c>
      <c r="J65" s="9" t="n">
        <v>2005</v>
      </c>
      <c r="K65" s="7" t="n">
        <v>112</v>
      </c>
      <c r="L65" s="11" t="n">
        <v>4.4</v>
      </c>
      <c r="M65" s="12" t="s">
        <v>27</v>
      </c>
      <c r="N65" s="6" t="s">
        <v>224</v>
      </c>
      <c r="O65" s="13"/>
      <c r="P65" s="9" t="str">
        <f aca="false">IF(COUNTIFS($G$5:$G$72,G65,$H$5:$H$72,H65,$I$5:$I$72,I65,$C$5:$C$72,C65)&gt;1,"повтор","")</f>
        <v/>
      </c>
      <c r="Q65" s="9" t="str">
        <f aca="false">IF(C65&lt;&gt;"1:24","",IF(D65="","проверить",IF(D65&lt;=Параметры!$B$12,"ок","дороже лимита")))</f>
        <v/>
      </c>
      <c r="R65" s="14" t="s">
        <v>185</v>
      </c>
    </row>
    <row r="66" customFormat="false" ht="15" hidden="false" customHeight="false" outlineLevel="0" collapsed="false">
      <c r="A66" s="4" t="s">
        <v>180</v>
      </c>
      <c r="B66" s="5" t="s">
        <v>225</v>
      </c>
      <c r="C66" s="6" t="s">
        <v>182</v>
      </c>
      <c r="D66" s="7" t="n">
        <v>629</v>
      </c>
      <c r="E66" s="8" t="n">
        <f aca="false">IF(D66="","",IF(D66&lt;Параметры!$B$4,CEILING(D66*Параметры!$B$5,100)-10,IF(D66&lt;=Параметры!$B$6,CEILING(D66*Параметры!$B$7,100)-10,CEILING(D66*Параметры!$B$8,100)-10)))</f>
        <v>1290</v>
      </c>
      <c r="F66" s="8" t="n">
        <f aca="false">IF(D66="","",ROUND(E66*(1-Параметры!$B$9-Параметры!$B$10-Параметры!$B$11)-D66,0))</f>
        <v>474</v>
      </c>
      <c r="G66" s="9" t="s">
        <v>226</v>
      </c>
      <c r="H66" s="9" t="s">
        <v>153</v>
      </c>
      <c r="I66" s="9" t="s">
        <v>153</v>
      </c>
      <c r="J66" s="9" t="n">
        <v>2007</v>
      </c>
      <c r="K66" s="7" t="n">
        <v>112</v>
      </c>
      <c r="L66" s="11" t="n">
        <v>4.4</v>
      </c>
      <c r="M66" s="12" t="s">
        <v>27</v>
      </c>
      <c r="N66" s="6" t="s">
        <v>227</v>
      </c>
      <c r="O66" s="13"/>
      <c r="P66" s="9" t="str">
        <f aca="false">IF(COUNTIFS($G$5:$G$72,G66,$H$5:$H$72,H66,$I$5:$I$72,I66,$C$5:$C$72,C66)&gt;1,"повтор","")</f>
        <v/>
      </c>
      <c r="Q66" s="9" t="str">
        <f aca="false">IF(C66&lt;&gt;"1:24","",IF(D66="","проверить",IF(D66&lt;=Параметры!$B$12,"ок","дороже лимита")))</f>
        <v/>
      </c>
      <c r="R66" s="14" t="s">
        <v>185</v>
      </c>
    </row>
    <row r="67" customFormat="false" ht="15" hidden="false" customHeight="false" outlineLevel="0" collapsed="false">
      <c r="A67" s="4" t="s">
        <v>180</v>
      </c>
      <c r="B67" s="5" t="s">
        <v>228</v>
      </c>
      <c r="C67" s="6" t="s">
        <v>182</v>
      </c>
      <c r="D67" s="7" t="n">
        <v>629</v>
      </c>
      <c r="E67" s="8" t="n">
        <f aca="false">IF(D67="","",IF(D67&lt;Параметры!$B$4,CEILING(D67*Параметры!$B$5,100)-10,IF(D67&lt;=Параметры!$B$6,CEILING(D67*Параметры!$B$7,100)-10,CEILING(D67*Параметры!$B$8,100)-10)))</f>
        <v>1290</v>
      </c>
      <c r="F67" s="8" t="n">
        <f aca="false">IF(D67="","",ROUND(E67*(1-Параметры!$B$9-Параметры!$B$10-Параметры!$B$11)-D67,0))</f>
        <v>474</v>
      </c>
      <c r="G67" s="9" t="s">
        <v>229</v>
      </c>
      <c r="H67" s="9" t="s">
        <v>153</v>
      </c>
      <c r="I67" s="9" t="s">
        <v>153</v>
      </c>
      <c r="J67" s="9" t="n">
        <v>2008</v>
      </c>
      <c r="K67" s="7" t="n">
        <v>112</v>
      </c>
      <c r="L67" s="11" t="n">
        <v>4.4</v>
      </c>
      <c r="M67" s="12" t="s">
        <v>27</v>
      </c>
      <c r="N67" s="6" t="s">
        <v>230</v>
      </c>
      <c r="O67" s="13"/>
      <c r="P67" s="9" t="str">
        <f aca="false">IF(COUNTIFS($G$5:$G$72,G67,$H$5:$H$72,H67,$I$5:$I$72,I67,$C$5:$C$72,C67)&gt;1,"повтор","")</f>
        <v/>
      </c>
      <c r="Q67" s="9" t="str">
        <f aca="false">IF(C67&lt;&gt;"1:24","",IF(D67="","проверить",IF(D67&lt;=Параметры!$B$12,"ок","дороже лимита")))</f>
        <v/>
      </c>
      <c r="R67" s="14" t="s">
        <v>185</v>
      </c>
    </row>
    <row r="68" customFormat="false" ht="15" hidden="false" customHeight="false" outlineLevel="0" collapsed="false">
      <c r="A68" s="4" t="s">
        <v>180</v>
      </c>
      <c r="B68" s="5" t="s">
        <v>231</v>
      </c>
      <c r="C68" s="6" t="s">
        <v>182</v>
      </c>
      <c r="D68" s="7" t="n">
        <v>629</v>
      </c>
      <c r="E68" s="8" t="n">
        <f aca="false">IF(D68="","",IF(D68&lt;Параметры!$B$4,CEILING(D68*Параметры!$B$5,100)-10,IF(D68&lt;=Параметры!$B$6,CEILING(D68*Параметры!$B$7,100)-10,CEILING(D68*Параметры!$B$8,100)-10)))</f>
        <v>1290</v>
      </c>
      <c r="F68" s="8" t="n">
        <f aca="false">IF(D68="","",ROUND(E68*(1-Параметры!$B$9-Параметры!$B$10-Параметры!$B$11)-D68,0))</f>
        <v>474</v>
      </c>
      <c r="G68" s="9" t="s">
        <v>232</v>
      </c>
      <c r="H68" s="9" t="s">
        <v>153</v>
      </c>
      <c r="I68" s="9" t="s">
        <v>153</v>
      </c>
      <c r="J68" s="9" t="n">
        <v>2019</v>
      </c>
      <c r="K68" s="7" t="n">
        <v>112</v>
      </c>
      <c r="L68" s="11" t="n">
        <v>4.4</v>
      </c>
      <c r="M68" s="12" t="s">
        <v>27</v>
      </c>
      <c r="N68" s="6" t="s">
        <v>233</v>
      </c>
      <c r="O68" s="13"/>
      <c r="P68" s="9" t="str">
        <f aca="false">IF(COUNTIFS($G$5:$G$72,G68,$H$5:$H$72,H68,$I$5:$I$72,I68,$C$5:$C$72,C68)&gt;1,"повтор","")</f>
        <v/>
      </c>
      <c r="Q68" s="9" t="str">
        <f aca="false">IF(C68&lt;&gt;"1:24","",IF(D68="","проверить",IF(D68&lt;=Параметры!$B$12,"ок","дороже лимита")))</f>
        <v/>
      </c>
      <c r="R68" s="14" t="s">
        <v>185</v>
      </c>
    </row>
    <row r="69" customFormat="false" ht="15" hidden="false" customHeight="false" outlineLevel="0" collapsed="false">
      <c r="A69" s="4" t="s">
        <v>180</v>
      </c>
      <c r="B69" s="5" t="s">
        <v>234</v>
      </c>
      <c r="C69" s="6" t="s">
        <v>182</v>
      </c>
      <c r="D69" s="7" t="n">
        <v>629</v>
      </c>
      <c r="E69" s="8" t="n">
        <f aca="false">IF(D69="","",IF(D69&lt;Параметры!$B$4,CEILING(D69*Параметры!$B$5,100)-10,IF(D69&lt;=Параметры!$B$6,CEILING(D69*Параметры!$B$7,100)-10,CEILING(D69*Параметры!$B$8,100)-10)))</f>
        <v>1290</v>
      </c>
      <c r="F69" s="8" t="n">
        <f aca="false">IF(D69="","",ROUND(E69*(1-Параметры!$B$9-Параметры!$B$10-Параметры!$B$11)-D69,0))</f>
        <v>474</v>
      </c>
      <c r="G69" s="9" t="s">
        <v>235</v>
      </c>
      <c r="H69" s="9" t="s">
        <v>153</v>
      </c>
      <c r="I69" s="9" t="s">
        <v>153</v>
      </c>
      <c r="J69" s="9" t="n">
        <v>1975</v>
      </c>
      <c r="K69" s="7" t="n">
        <v>112</v>
      </c>
      <c r="L69" s="11" t="n">
        <v>4.4</v>
      </c>
      <c r="M69" s="12" t="s">
        <v>27</v>
      </c>
      <c r="N69" s="6" t="s">
        <v>236</v>
      </c>
      <c r="O69" s="13"/>
      <c r="P69" s="9" t="str">
        <f aca="false">IF(COUNTIFS($G$5:$G$72,G69,$H$5:$H$72,H69,$I$5:$I$72,I69,$C$5:$C$72,C69)&gt;1,"повтор","")</f>
        <v/>
      </c>
      <c r="Q69" s="9" t="str">
        <f aca="false">IF(C69&lt;&gt;"1:24","",IF(D69="","проверить",IF(D69&lt;=Параметры!$B$12,"ок","дороже лимита")))</f>
        <v/>
      </c>
      <c r="R69" s="14" t="s">
        <v>185</v>
      </c>
    </row>
    <row r="70" customFormat="false" ht="15" hidden="false" customHeight="false" outlineLevel="0" collapsed="false">
      <c r="A70" s="4" t="s">
        <v>180</v>
      </c>
      <c r="B70" s="5" t="s">
        <v>237</v>
      </c>
      <c r="C70" s="6" t="s">
        <v>182</v>
      </c>
      <c r="D70" s="7" t="n">
        <v>629</v>
      </c>
      <c r="E70" s="8" t="n">
        <f aca="false">IF(D70="","",IF(D70&lt;Параметры!$B$4,CEILING(D70*Параметры!$B$5,100)-10,IF(D70&lt;=Параметры!$B$6,CEILING(D70*Параметры!$B$7,100)-10,CEILING(D70*Параметры!$B$8,100)-10)))</f>
        <v>1290</v>
      </c>
      <c r="F70" s="8" t="n">
        <f aca="false">IF(D70="","",ROUND(E70*(1-Параметры!$B$9-Параметры!$B$10-Параметры!$B$11)-D70,0))</f>
        <v>474</v>
      </c>
      <c r="G70" s="9" t="s">
        <v>238</v>
      </c>
      <c r="H70" s="9" t="s">
        <v>153</v>
      </c>
      <c r="I70" s="9" t="s">
        <v>153</v>
      </c>
      <c r="J70" s="9" t="n">
        <v>1984</v>
      </c>
      <c r="K70" s="7" t="n">
        <v>112</v>
      </c>
      <c r="L70" s="11" t="n">
        <v>4.4</v>
      </c>
      <c r="M70" s="12" t="s">
        <v>27</v>
      </c>
      <c r="N70" s="6" t="s">
        <v>239</v>
      </c>
      <c r="O70" s="13"/>
      <c r="P70" s="9" t="str">
        <f aca="false">IF(COUNTIFS($G$5:$G$72,G70,$H$5:$H$72,H70,$I$5:$I$72,I70,$C$5:$C$72,C70)&gt;1,"повтор","")</f>
        <v/>
      </c>
      <c r="Q70" s="9" t="str">
        <f aca="false">IF(C70&lt;&gt;"1:24","",IF(D70="","проверить",IF(D70&lt;=Параметры!$B$12,"ок","дороже лимита")))</f>
        <v/>
      </c>
      <c r="R70" s="14" t="s">
        <v>185</v>
      </c>
    </row>
    <row r="71" customFormat="false" ht="15" hidden="false" customHeight="false" outlineLevel="0" collapsed="false">
      <c r="A71" s="4" t="s">
        <v>180</v>
      </c>
      <c r="B71" s="5" t="s">
        <v>240</v>
      </c>
      <c r="C71" s="6" t="s">
        <v>182</v>
      </c>
      <c r="D71" s="7" t="n">
        <v>629</v>
      </c>
      <c r="E71" s="8" t="n">
        <f aca="false">IF(D71="","",IF(D71&lt;Параметры!$B$4,CEILING(D71*Параметры!$B$5,100)-10,IF(D71&lt;=Параметры!$B$6,CEILING(D71*Параметры!$B$7,100)-10,CEILING(D71*Параметры!$B$8,100)-10)))</f>
        <v>1290</v>
      </c>
      <c r="F71" s="8" t="n">
        <f aca="false">IF(D71="","",ROUND(E71*(1-Параметры!$B$9-Параметры!$B$10-Параметры!$B$11)-D71,0))</f>
        <v>474</v>
      </c>
      <c r="G71" s="9" t="s">
        <v>241</v>
      </c>
      <c r="H71" s="9" t="s">
        <v>153</v>
      </c>
      <c r="I71" s="9" t="s">
        <v>153</v>
      </c>
      <c r="J71" s="9" t="n">
        <v>2011</v>
      </c>
      <c r="K71" s="7" t="n">
        <v>112</v>
      </c>
      <c r="L71" s="11" t="n">
        <v>4.4</v>
      </c>
      <c r="M71" s="12" t="s">
        <v>27</v>
      </c>
      <c r="N71" s="6" t="s">
        <v>242</v>
      </c>
      <c r="O71" s="13"/>
      <c r="P71" s="9" t="str">
        <f aca="false">IF(COUNTIFS($G$5:$G$72,G71,$H$5:$H$72,H71,$I$5:$I$72,I71,$C$5:$C$72,C71)&gt;1,"повтор","")</f>
        <v/>
      </c>
      <c r="Q71" s="9" t="str">
        <f aca="false">IF(C71&lt;&gt;"1:24","",IF(D71="","проверить",IF(D71&lt;=Параметры!$B$12,"ок","дороже лимита")))</f>
        <v/>
      </c>
      <c r="R71" s="14" t="s">
        <v>185</v>
      </c>
    </row>
    <row r="72" customFormat="false" ht="22.35" hidden="false" customHeight="false" outlineLevel="0" collapsed="false">
      <c r="A72" s="4" t="s">
        <v>180</v>
      </c>
      <c r="B72" s="5" t="s">
        <v>243</v>
      </c>
      <c r="C72" s="6" t="s">
        <v>182</v>
      </c>
      <c r="D72" s="7" t="n">
        <v>629</v>
      </c>
      <c r="E72" s="8" t="n">
        <f aca="false">IF(D72="","",IF(D72&lt;Параметры!$B$4,CEILING(D72*Параметры!$B$5,100)-10,IF(D72&lt;=Параметры!$B$6,CEILING(D72*Параметры!$B$7,100)-10,CEILING(D72*Параметры!$B$8,100)-10)))</f>
        <v>1290</v>
      </c>
      <c r="F72" s="8" t="n">
        <f aca="false">IF(D72="","",ROUND(E72*(1-Параметры!$B$9-Параметры!$B$10-Параметры!$B$11)-D72,0))</f>
        <v>474</v>
      </c>
      <c r="G72" s="9" t="s">
        <v>244</v>
      </c>
      <c r="H72" s="9" t="s">
        <v>153</v>
      </c>
      <c r="I72" s="9" t="s">
        <v>153</v>
      </c>
      <c r="J72" s="9"/>
      <c r="K72" s="7" t="n">
        <v>112</v>
      </c>
      <c r="L72" s="11" t="n">
        <v>4.4</v>
      </c>
      <c r="M72" s="12" t="s">
        <v>27</v>
      </c>
      <c r="N72" s="6" t="s">
        <v>245</v>
      </c>
      <c r="O72" s="13"/>
      <c r="P72" s="9" t="str">
        <f aca="false">IF(COUNTIFS($G$5:$G$72,G72,$H$5:$H$72,H72,$I$5:$I$72,I72,$C$5:$C$72,C72)&gt;1,"повтор","")</f>
        <v/>
      </c>
      <c r="Q72" s="9" t="str">
        <f aca="false">IF(C72&lt;&gt;"1:24","",IF(D72="","проверить",IF(D72&lt;=Параметры!$B$12,"ок","дороже лимита")))</f>
        <v/>
      </c>
      <c r="R72" s="14" t="s">
        <v>246</v>
      </c>
    </row>
    <row r="74" customFormat="false" ht="15" hidden="false" customHeight="false" outlineLevel="0" collapsed="false">
      <c r="A74" s="18" t="s">
        <v>247</v>
      </c>
    </row>
    <row r="75" customFormat="false" ht="15" hidden="false" customHeight="false" outlineLevel="0" collapsed="false">
      <c r="A75" s="19" t="s">
        <v>248</v>
      </c>
      <c r="B75" s="20" t="n">
        <f aca="false">COUNTA(B5:B72)</f>
        <v>68</v>
      </c>
    </row>
    <row r="76" customFormat="false" ht="15" hidden="false" customHeight="false" outlineLevel="0" collapsed="false">
      <c r="A76" s="19" t="s">
        <v>21</v>
      </c>
      <c r="B76" s="20" t="n">
        <f aca="false">COUNTIF($A$5:$A$72,"Модели 1:43 — сезон 2025")</f>
        <v>20</v>
      </c>
    </row>
    <row r="77" customFormat="false" ht="15" hidden="false" customHeight="false" outlineLevel="0" collapsed="false">
      <c r="A77" s="19" t="s">
        <v>95</v>
      </c>
      <c r="B77" s="20" t="n">
        <f aca="false">COUNTIF($A$5:$A$72,"Модели 1:43 — новинки 2026")</f>
        <v>4</v>
      </c>
    </row>
    <row r="78" customFormat="false" ht="15" hidden="false" customHeight="false" outlineLevel="0" collapsed="false">
      <c r="A78" s="19" t="s">
        <v>107</v>
      </c>
      <c r="B78" s="20" t="n">
        <f aca="false">COUNTIF($A$5:$A$72,"Модели 1:24")</f>
        <v>13</v>
      </c>
    </row>
    <row r="79" customFormat="false" ht="15" hidden="false" customHeight="false" outlineLevel="0" collapsed="false">
      <c r="A79" s="19" t="s">
        <v>151</v>
      </c>
      <c r="B79" s="20" t="n">
        <f aca="false">COUNTIF($A$5:$A$72,"Конструкторы — лицензия CaDA")</f>
        <v>3</v>
      </c>
    </row>
    <row r="80" customFormat="false" ht="15" hidden="false" customHeight="false" outlineLevel="0" collapsed="false">
      <c r="A80" s="19" t="s">
        <v>163</v>
      </c>
      <c r="B80" s="20" t="n">
        <f aca="false">COUNTIF($A$5:$A$72,"Конструкторы — реплика")</f>
        <v>7</v>
      </c>
    </row>
    <row r="81" customFormat="false" ht="15" hidden="false" customHeight="false" outlineLevel="0" collapsed="false">
      <c r="A81" s="19" t="s">
        <v>180</v>
      </c>
      <c r="B81" s="20" t="n">
        <f aca="false">COUNTIF($A$5:$A$72,"Постеры")</f>
        <v>21</v>
      </c>
    </row>
    <row r="82" customFormat="false" ht="15" hidden="false" customHeight="false" outlineLevel="0" collapsed="false">
      <c r="A82" s="19" t="s">
        <v>249</v>
      </c>
      <c r="B82" s="20" t="n">
        <f aca="false">COUNTIF(P5:P72,"повтор")</f>
        <v>0</v>
      </c>
    </row>
    <row r="83" customFormat="false" ht="15" hidden="false" customHeight="false" outlineLevel="0" collapsed="false">
      <c r="A83" s="19" t="s">
        <v>250</v>
      </c>
      <c r="B83" s="20" t="n">
        <f aca="false">COUNTIF(Q5:Q72,"дороже лимита")</f>
        <v>0</v>
      </c>
    </row>
    <row r="84" customFormat="false" ht="15" hidden="false" customHeight="false" outlineLevel="0" collapsed="false">
      <c r="A84" s="19" t="s">
        <v>251</v>
      </c>
      <c r="B84" s="20" t="n">
        <f aca="false">IFERROR(ROUND(AVERAGE(F5:F72),0),"")</f>
        <v>700</v>
      </c>
    </row>
    <row r="85" customFormat="false" ht="15" hidden="false" customHeight="false" outlineLevel="0" collapsed="false">
      <c r="A85" s="19" t="s">
        <v>252</v>
      </c>
      <c r="B85" s="20" t="n">
        <f aca="false">IFERROR(ROUND(AVERAGEIFS(F5:F72,C5:C72,"1:43"),0),"")</f>
        <v>683</v>
      </c>
    </row>
    <row r="86" customFormat="false" ht="15" hidden="false" customHeight="false" outlineLevel="0" collapsed="false">
      <c r="A86" s="19" t="s">
        <v>253</v>
      </c>
      <c r="B86" s="20" t="n">
        <f aca="false">IFERROR(ROUND(AVERAGEIFS(F5:F72,C5:C72,"1:24",A5:A72,"Модели 1:24"),0),"")</f>
        <v>932</v>
      </c>
    </row>
  </sheetData>
  <autoFilter ref="A4:R72"/>
  <conditionalFormatting sqref="P5:Q72">
    <cfRule type="expression" priority="2" aboveAverage="0" equalAverage="0" bottom="0" percent="0" rank="0" text="" dxfId="6">
      <formula>OR(P5="повтор",Q5="дороже лимита")</formula>
    </cfRule>
  </conditionalFormatting>
  <hyperlinks>
    <hyperlink ref="M5" r:id="rId2" display="открыть"/>
    <hyperlink ref="M6" r:id="rId3" display="открыть"/>
    <hyperlink ref="M7" r:id="rId4" display="открыть"/>
    <hyperlink ref="M8" r:id="rId5" display="открыть"/>
    <hyperlink ref="M9" r:id="rId6" display="открыть"/>
    <hyperlink ref="M10" r:id="rId7" display="открыть"/>
    <hyperlink ref="M11" r:id="rId8" display="открыть"/>
    <hyperlink ref="M12" r:id="rId9" display="открыть"/>
    <hyperlink ref="M13" r:id="rId10" display="открыть"/>
    <hyperlink ref="M14" r:id="rId11" display="открыть"/>
    <hyperlink ref="M15" r:id="rId12" display="открыть"/>
    <hyperlink ref="M16" r:id="rId13" display="открыть"/>
    <hyperlink ref="M17" r:id="rId14" display="открыть"/>
    <hyperlink ref="M18" r:id="rId15" display="открыть"/>
    <hyperlink ref="M19" r:id="rId16" display="открыть"/>
    <hyperlink ref="M20" r:id="rId17" display="открыть"/>
    <hyperlink ref="M21" r:id="rId18" display="открыть"/>
    <hyperlink ref="M22" r:id="rId19" display="открыть"/>
    <hyperlink ref="M23" r:id="rId20" display="открыть"/>
    <hyperlink ref="M24" r:id="rId21" display="открыть"/>
    <hyperlink ref="M25" r:id="rId22" display="открыть"/>
    <hyperlink ref="M26" r:id="rId23" display="открыть"/>
    <hyperlink ref="M27" r:id="rId24" display="открыть"/>
    <hyperlink ref="M28" r:id="rId25" display="открыть"/>
    <hyperlink ref="M29" r:id="rId26" display="открыть"/>
    <hyperlink ref="M30" r:id="rId27" display="открыть"/>
    <hyperlink ref="M31" r:id="rId28" display="открыть"/>
    <hyperlink ref="M32" r:id="rId29" display="открыть"/>
    <hyperlink ref="M33" r:id="rId30" display="открыть"/>
    <hyperlink ref="M34" r:id="rId31" display="открыть"/>
    <hyperlink ref="M35" r:id="rId32" display="открыть"/>
    <hyperlink ref="M36" r:id="rId33" display="открыть"/>
    <hyperlink ref="M37" r:id="rId34" display="открыть"/>
    <hyperlink ref="M38" r:id="rId35" display="открыть"/>
    <hyperlink ref="M39" r:id="rId36" display="открыть"/>
    <hyperlink ref="M40" r:id="rId37" display="открыть"/>
    <hyperlink ref="M41" r:id="rId38" display="открыть"/>
    <hyperlink ref="M42" r:id="rId39" display="открыть"/>
    <hyperlink ref="M43" r:id="rId40" display="открыть"/>
    <hyperlink ref="M44" r:id="rId41" display="открыть"/>
    <hyperlink ref="M45" r:id="rId42" display="открыть"/>
    <hyperlink ref="M46" r:id="rId43" display="открыть"/>
    <hyperlink ref="M47" r:id="rId44" display="открыть"/>
    <hyperlink ref="M48" r:id="rId45" display="открыть"/>
    <hyperlink ref="M49" r:id="rId46" display="открыть"/>
    <hyperlink ref="M50" r:id="rId47" display="открыть"/>
    <hyperlink ref="M51" r:id="rId48" display="открыть"/>
    <hyperlink ref="M52" r:id="rId49" display="открыть"/>
    <hyperlink ref="M53" r:id="rId50" display="открыть"/>
    <hyperlink ref="M54" r:id="rId51" display="открыть"/>
    <hyperlink ref="M55" r:id="rId52" display="открыть"/>
    <hyperlink ref="M56" r:id="rId53" display="открыть"/>
    <hyperlink ref="M57" r:id="rId54" display="открыть"/>
    <hyperlink ref="M58" r:id="rId55" display="открыть"/>
    <hyperlink ref="M59" r:id="rId56" display="открыть"/>
    <hyperlink ref="M60" r:id="rId57" display="открыть"/>
    <hyperlink ref="M61" r:id="rId58" display="открыть"/>
    <hyperlink ref="M62" r:id="rId59" display="открыть"/>
    <hyperlink ref="M63" r:id="rId60" display="открыть"/>
    <hyperlink ref="M64" r:id="rId61" display="открыть"/>
    <hyperlink ref="M65" r:id="rId62" display="открыть"/>
    <hyperlink ref="M66" r:id="rId63" display="открыть"/>
    <hyperlink ref="M67" r:id="rId64" display="открыть"/>
    <hyperlink ref="M68" r:id="rId65" display="открыть"/>
    <hyperlink ref="M69" r:id="rId66" display="открыть"/>
    <hyperlink ref="M70" r:id="rId67" display="открыть"/>
    <hyperlink ref="M71" r:id="rId68" display="открыть"/>
    <hyperlink ref="M72" r:id="rId69" display="открыть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0"/>
  <legacyDrawing r:id="rId7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2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254</v>
      </c>
    </row>
    <row r="2" customFormat="false" ht="15" hidden="false" customHeight="false" outlineLevel="0" collapsed="false">
      <c r="A2" s="2" t="s">
        <v>255</v>
      </c>
    </row>
    <row r="4" customFormat="false" ht="15" hidden="false" customHeight="false" outlineLevel="0" collapsed="false">
      <c r="A4" s="19" t="s">
        <v>256</v>
      </c>
      <c r="B4" s="21" t="n">
        <v>1500</v>
      </c>
      <c r="C4" s="2" t="s">
        <v>257</v>
      </c>
    </row>
    <row r="5" customFormat="false" ht="15" hidden="false" customHeight="false" outlineLevel="0" collapsed="false">
      <c r="A5" s="19" t="s">
        <v>258</v>
      </c>
      <c r="B5" s="22" t="n">
        <v>2</v>
      </c>
      <c r="C5" s="2" t="s">
        <v>259</v>
      </c>
    </row>
    <row r="6" customFormat="false" ht="15" hidden="false" customHeight="false" outlineLevel="0" collapsed="false">
      <c r="A6" s="19" t="s">
        <v>260</v>
      </c>
      <c r="B6" s="21" t="n">
        <v>7000</v>
      </c>
      <c r="C6" s="2"/>
    </row>
    <row r="7" customFormat="false" ht="15" hidden="false" customHeight="false" outlineLevel="0" collapsed="false">
      <c r="A7" s="19" t="s">
        <v>261</v>
      </c>
      <c r="B7" s="22" t="n">
        <v>1.6</v>
      </c>
      <c r="C7" s="2" t="s">
        <v>262</v>
      </c>
    </row>
    <row r="8" customFormat="false" ht="15" hidden="false" customHeight="false" outlineLevel="0" collapsed="false">
      <c r="A8" s="19" t="s">
        <v>263</v>
      </c>
      <c r="B8" s="22" t="n">
        <v>1.35</v>
      </c>
      <c r="C8" s="2" t="s">
        <v>264</v>
      </c>
    </row>
    <row r="9" customFormat="false" ht="15" hidden="false" customHeight="false" outlineLevel="0" collapsed="false">
      <c r="A9" s="19" t="s">
        <v>265</v>
      </c>
      <c r="B9" s="23" t="n">
        <v>0.035</v>
      </c>
      <c r="C9" s="2" t="s">
        <v>266</v>
      </c>
    </row>
    <row r="10" customFormat="false" ht="15" hidden="false" customHeight="false" outlineLevel="0" collapsed="false">
      <c r="A10" s="19" t="s">
        <v>267</v>
      </c>
      <c r="B10" s="23" t="n">
        <v>0.06</v>
      </c>
      <c r="C10" s="2" t="s">
        <v>268</v>
      </c>
    </row>
    <row r="11" customFormat="false" ht="15" hidden="false" customHeight="false" outlineLevel="0" collapsed="false">
      <c r="A11" s="19" t="s">
        <v>269</v>
      </c>
      <c r="B11" s="23" t="n">
        <v>0.05</v>
      </c>
      <c r="C11" s="2" t="s">
        <v>270</v>
      </c>
    </row>
    <row r="12" customFormat="false" ht="15" hidden="false" customHeight="false" outlineLevel="0" collapsed="false">
      <c r="A12" s="19" t="s">
        <v>271</v>
      </c>
      <c r="B12" s="21" t="n">
        <v>2800</v>
      </c>
      <c r="C12" s="2" t="s">
        <v>272</v>
      </c>
    </row>
    <row r="13" customFormat="false" ht="15" hidden="false" customHeight="false" outlineLevel="0" collapsed="false">
      <c r="A13" s="19" t="s">
        <v>273</v>
      </c>
      <c r="B13" s="22" t="n">
        <v>84.2</v>
      </c>
      <c r="C13" s="2" t="s">
        <v>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1" t="s">
        <v>275</v>
      </c>
    </row>
    <row r="2" customFormat="false" ht="15" hidden="false" customHeight="false" outlineLevel="0" collapsed="false">
      <c r="A2" s="2" t="s">
        <v>276</v>
      </c>
    </row>
    <row r="4" customFormat="false" ht="15" hidden="false" customHeight="false" outlineLevel="0" collapsed="false">
      <c r="A4" s="24" t="s">
        <v>277</v>
      </c>
      <c r="B4" s="24" t="s">
        <v>6</v>
      </c>
      <c r="C4" s="24" t="s">
        <v>7</v>
      </c>
      <c r="D4" s="24" t="s">
        <v>8</v>
      </c>
      <c r="E4" s="24" t="s">
        <v>278</v>
      </c>
    </row>
    <row r="5" customFormat="false" ht="15" hidden="false" customHeight="false" outlineLevel="0" collapsed="false">
      <c r="A5" s="19" t="s">
        <v>279</v>
      </c>
      <c r="B5" s="21" t="n">
        <v>289</v>
      </c>
      <c r="C5" s="25" t="n">
        <f aca="false">IF(B5="","",IF(B5&lt;Параметры!$B$4,CEILING(B5*Параметры!$B$5,100)-10,IF(B5&lt;=Параметры!$B$6,CEILING(B5*Параметры!$B$7,100)-10,CEILING(B5*Параметры!$B$8,100)-10)))</f>
        <v>590</v>
      </c>
      <c r="D5" s="25" t="n">
        <f aca="false">IF(B5="","",ROUND(C5*(1-Параметры!$B$9-Параметры!$B$10-Параметры!$B$11)-B5,0))</f>
        <v>215</v>
      </c>
      <c r="E5" s="26"/>
    </row>
    <row r="6" customFormat="false" ht="15" hidden="false" customHeight="false" outlineLevel="0" collapsed="false">
      <c r="A6" s="19" t="s">
        <v>280</v>
      </c>
      <c r="B6" s="21" t="n">
        <v>379</v>
      </c>
      <c r="C6" s="25" t="n">
        <f aca="false">IF(B6="","",IF(B6&lt;Параметры!$B$4,CEILING(B6*Параметры!$B$5,100)-10,IF(B6&lt;=Параметры!$B$6,CEILING(B6*Параметры!$B$7,100)-10,CEILING(B6*Параметры!$B$8,100)-10)))</f>
        <v>790</v>
      </c>
      <c r="D6" s="25" t="n">
        <f aca="false">IF(B6="","",ROUND(C6*(1-Параметры!$B$9-Параметры!$B$10-Параметры!$B$11)-B6,0))</f>
        <v>296</v>
      </c>
      <c r="E6" s="26"/>
    </row>
    <row r="7" customFormat="false" ht="15" hidden="false" customHeight="false" outlineLevel="0" collapsed="false">
      <c r="A7" s="19" t="s">
        <v>281</v>
      </c>
      <c r="B7" s="21" t="n">
        <v>472</v>
      </c>
      <c r="C7" s="25" t="n">
        <f aca="false">IF(B7="","",IF(B7&lt;Параметры!$B$4,CEILING(B7*Параметры!$B$5,100)-10,IF(B7&lt;=Параметры!$B$6,CEILING(B7*Параметры!$B$7,100)-10,CEILING(B7*Параметры!$B$8,100)-10)))</f>
        <v>990</v>
      </c>
      <c r="D7" s="25" t="n">
        <f aca="false">IF(B7="","",ROUND(C7*(1-Параметры!$B$9-Параметры!$B$10-Параметры!$B$11)-B7,0))</f>
        <v>374</v>
      </c>
      <c r="E7" s="26"/>
    </row>
    <row r="8" customFormat="false" ht="15" hidden="false" customHeight="false" outlineLevel="0" collapsed="false">
      <c r="A8" s="19" t="s">
        <v>282</v>
      </c>
      <c r="B8" s="21" t="n">
        <v>519</v>
      </c>
      <c r="C8" s="25" t="n">
        <f aca="false">IF(B8="","",IF(B8&lt;Параметры!$B$4,CEILING(B8*Параметры!$B$5,100)-10,IF(B8&lt;=Параметры!$B$6,CEILING(B8*Параметры!$B$7,100)-10,CEILING(B8*Параметры!$B$8,100)-10)))</f>
        <v>1090</v>
      </c>
      <c r="D8" s="25" t="n">
        <f aca="false">IF(B8="","",ROUND(C8*(1-Параметры!$B$9-Параметры!$B$10-Параметры!$B$11)-B8,0))</f>
        <v>413</v>
      </c>
      <c r="E8" s="26" t="s">
        <v>283</v>
      </c>
    </row>
    <row r="9" customFormat="false" ht="15" hidden="false" customHeight="false" outlineLevel="0" collapsed="false">
      <c r="A9" s="19" t="s">
        <v>182</v>
      </c>
      <c r="B9" s="21" t="n">
        <v>629</v>
      </c>
      <c r="C9" s="25" t="n">
        <f aca="false">IF(B9="","",IF(B9&lt;Параметры!$B$4,CEILING(B9*Параметры!$B$5,100)-10,IF(B9&lt;=Параметры!$B$6,CEILING(B9*Параметры!$B$7,100)-10,CEILING(B9*Параметры!$B$8,100)-10)))</f>
        <v>1290</v>
      </c>
      <c r="D9" s="25" t="n">
        <f aca="false">IF(B9="","",ROUND(C9*(1-Параметры!$B$9-Параметры!$B$10-Параметры!$B$11)-B9,0))</f>
        <v>474</v>
      </c>
      <c r="E9" s="26" t="s">
        <v>283</v>
      </c>
    </row>
    <row r="10" customFormat="false" ht="15" hidden="false" customHeight="false" outlineLevel="0" collapsed="false">
      <c r="A10" s="19" t="s">
        <v>284</v>
      </c>
      <c r="B10" s="21" t="n">
        <v>829</v>
      </c>
      <c r="C10" s="25" t="n">
        <f aca="false">IF(B10="","",IF(B10&lt;Параметры!$B$4,CEILING(B10*Параметры!$B$5,100)-10,IF(B10&lt;=Параметры!$B$6,CEILING(B10*Параметры!$B$7,100)-10,CEILING(B10*Параметры!$B$8,100)-10)))</f>
        <v>1690</v>
      </c>
      <c r="D10" s="25" t="n">
        <f aca="false">IF(B10="","",ROUND(C10*(1-Параметры!$B$9-Параметры!$B$10-Параметры!$B$11)-B10,0))</f>
        <v>616</v>
      </c>
      <c r="E10" s="26"/>
    </row>
    <row r="11" customFormat="false" ht="15" hidden="false" customHeight="false" outlineLevel="0" collapsed="false">
      <c r="A11" s="19" t="s">
        <v>285</v>
      </c>
      <c r="B11" s="21" t="n">
        <v>931</v>
      </c>
      <c r="C11" s="25" t="n">
        <f aca="false">IF(B11="","",IF(B11&lt;Параметры!$B$4,CEILING(B11*Параметры!$B$5,100)-10,IF(B11&lt;=Параметры!$B$6,CEILING(B11*Параметры!$B$7,100)-10,CEILING(B11*Параметры!$B$8,100)-10)))</f>
        <v>1890</v>
      </c>
      <c r="D11" s="25" t="n">
        <f aca="false">IF(B11="","",ROUND(C11*(1-Параметры!$B$9-Параметры!$B$10-Параметры!$B$11)-B11,0))</f>
        <v>685</v>
      </c>
      <c r="E11" s="26" t="s">
        <v>283</v>
      </c>
    </row>
    <row r="12" customFormat="false" ht="15" hidden="false" customHeight="false" outlineLevel="0" collapsed="false">
      <c r="A12" s="19" t="s">
        <v>286</v>
      </c>
      <c r="B12" s="21" t="n">
        <v>1052</v>
      </c>
      <c r="C12" s="25" t="n">
        <f aca="false">IF(B12="","",IF(B12&lt;Параметры!$B$4,CEILING(B12*Параметры!$B$5,100)-10,IF(B12&lt;=Параметры!$B$6,CEILING(B12*Параметры!$B$7,100)-10,CEILING(B12*Параметры!$B$8,100)-10)))</f>
        <v>2190</v>
      </c>
      <c r="D12" s="25" t="n">
        <f aca="false">IF(B12="","",ROUND(C12*(1-Параметры!$B$9-Параметры!$B$10-Параметры!$B$11)-B12,0))</f>
        <v>820</v>
      </c>
      <c r="E12" s="26" t="s">
        <v>283</v>
      </c>
    </row>
    <row r="13" customFormat="false" ht="15" hidden="false" customHeight="false" outlineLevel="0" collapsed="false">
      <c r="A13" s="19" t="s">
        <v>287</v>
      </c>
      <c r="B13" s="21" t="n">
        <v>1269</v>
      </c>
      <c r="C13" s="25" t="n">
        <f aca="false">IF(B13="","",IF(B13&lt;Параметры!$B$4,CEILING(B13*Параметры!$B$5,100)-10,IF(B13&lt;=Параметры!$B$6,CEILING(B13*Параметры!$B$7,100)-10,CEILING(B13*Параметры!$B$8,100)-10)))</f>
        <v>2590</v>
      </c>
      <c r="D13" s="25" t="n">
        <f aca="false">IF(B13="","",ROUND(C13*(1-Параметры!$B$9-Параметры!$B$10-Параметры!$B$11)-B13,0))</f>
        <v>945</v>
      </c>
      <c r="E13" s="26"/>
    </row>
    <row r="14" customFormat="false" ht="15" hidden="false" customHeight="false" outlineLevel="0" collapsed="false">
      <c r="A14" s="19" t="s">
        <v>288</v>
      </c>
      <c r="B14" s="21" t="n">
        <v>1372</v>
      </c>
      <c r="C14" s="25" t="n">
        <f aca="false">IF(B14="","",IF(B14&lt;Параметры!$B$4,CEILING(B14*Параметры!$B$5,100)-10,IF(B14&lt;=Параметры!$B$6,CEILING(B14*Параметры!$B$7,100)-10,CEILING(B14*Параметры!$B$8,100)-10)))</f>
        <v>2790</v>
      </c>
      <c r="D14" s="25" t="n">
        <f aca="false">IF(B14="","",ROUND(C14*(1-Параметры!$B$9-Параметры!$B$10-Параметры!$B$11)-B14,0))</f>
        <v>1013</v>
      </c>
      <c r="E14" s="26"/>
    </row>
    <row r="16" customFormat="false" ht="15" hidden="false" customHeight="false" outlineLevel="0" collapsed="false">
      <c r="A16" s="18" t="s">
        <v>289</v>
      </c>
    </row>
    <row r="17" customFormat="false" ht="15" hidden="false" customHeight="false" outlineLevel="0" collapsed="false">
      <c r="A17" s="26" t="s">
        <v>290</v>
      </c>
      <c r="B17" s="19" t="s">
        <v>183</v>
      </c>
    </row>
    <row r="18" customFormat="false" ht="15" hidden="false" customHeight="false" outlineLevel="0" collapsed="false">
      <c r="A18" s="26" t="s">
        <v>291</v>
      </c>
      <c r="B18" s="19" t="s">
        <v>187</v>
      </c>
    </row>
    <row r="19" customFormat="false" ht="15" hidden="false" customHeight="false" outlineLevel="0" collapsed="false">
      <c r="A19" s="26" t="s">
        <v>292</v>
      </c>
      <c r="B19" s="19" t="s">
        <v>190</v>
      </c>
    </row>
    <row r="20" customFormat="false" ht="15" hidden="false" customHeight="false" outlineLevel="0" collapsed="false">
      <c r="A20" s="26" t="s">
        <v>293</v>
      </c>
      <c r="B20" s="19" t="s">
        <v>193</v>
      </c>
    </row>
    <row r="21" customFormat="false" ht="15" hidden="false" customHeight="false" outlineLevel="0" collapsed="false">
      <c r="A21" s="26" t="s">
        <v>294</v>
      </c>
      <c r="B21" s="19" t="s">
        <v>196</v>
      </c>
    </row>
    <row r="22" customFormat="false" ht="15" hidden="false" customHeight="false" outlineLevel="0" collapsed="false">
      <c r="A22" s="26" t="s">
        <v>295</v>
      </c>
      <c r="B22" s="19" t="s">
        <v>199</v>
      </c>
    </row>
    <row r="23" customFormat="false" ht="15" hidden="false" customHeight="false" outlineLevel="0" collapsed="false">
      <c r="A23" s="26" t="s">
        <v>296</v>
      </c>
      <c r="B23" s="19" t="s">
        <v>202</v>
      </c>
    </row>
    <row r="24" customFormat="false" ht="15" hidden="false" customHeight="false" outlineLevel="0" collapsed="false">
      <c r="A24" s="26" t="s">
        <v>297</v>
      </c>
      <c r="B24" s="19" t="s">
        <v>205</v>
      </c>
    </row>
    <row r="25" customFormat="false" ht="15" hidden="false" customHeight="false" outlineLevel="0" collapsed="false">
      <c r="A25" s="26" t="s">
        <v>298</v>
      </c>
      <c r="B25" s="19" t="s">
        <v>208</v>
      </c>
    </row>
    <row r="26" customFormat="false" ht="15" hidden="false" customHeight="false" outlineLevel="0" collapsed="false">
      <c r="A26" s="26" t="s">
        <v>299</v>
      </c>
      <c r="B26" s="19" t="s">
        <v>211</v>
      </c>
    </row>
    <row r="27" customFormat="false" ht="15" hidden="false" customHeight="false" outlineLevel="0" collapsed="false">
      <c r="A27" s="26" t="s">
        <v>300</v>
      </c>
      <c r="B27" s="19" t="s">
        <v>214</v>
      </c>
    </row>
    <row r="28" customFormat="false" ht="15" hidden="false" customHeight="false" outlineLevel="0" collapsed="false">
      <c r="A28" s="26" t="s">
        <v>301</v>
      </c>
      <c r="B28" s="19" t="s">
        <v>217</v>
      </c>
    </row>
    <row r="29" customFormat="false" ht="15" hidden="false" customHeight="false" outlineLevel="0" collapsed="false">
      <c r="A29" s="26" t="s">
        <v>302</v>
      </c>
      <c r="B29" s="19" t="s">
        <v>220</v>
      </c>
    </row>
    <row r="30" customFormat="false" ht="15" hidden="false" customHeight="false" outlineLevel="0" collapsed="false">
      <c r="A30" s="26" t="s">
        <v>303</v>
      </c>
      <c r="B30" s="19" t="s">
        <v>223</v>
      </c>
    </row>
    <row r="31" customFormat="false" ht="15" hidden="false" customHeight="false" outlineLevel="0" collapsed="false">
      <c r="A31" s="26" t="s">
        <v>304</v>
      </c>
      <c r="B31" s="19" t="s">
        <v>226</v>
      </c>
    </row>
    <row r="32" customFormat="false" ht="15" hidden="false" customHeight="false" outlineLevel="0" collapsed="false">
      <c r="A32" s="26" t="s">
        <v>305</v>
      </c>
      <c r="B32" s="19" t="s">
        <v>229</v>
      </c>
    </row>
    <row r="33" customFormat="false" ht="15" hidden="false" customHeight="false" outlineLevel="0" collapsed="false">
      <c r="A33" s="26" t="s">
        <v>306</v>
      </c>
      <c r="B33" s="19" t="s">
        <v>232</v>
      </c>
    </row>
    <row r="34" customFormat="false" ht="15" hidden="false" customHeight="false" outlineLevel="0" collapsed="false">
      <c r="A34" s="26" t="s">
        <v>307</v>
      </c>
      <c r="B34" s="19" t="s">
        <v>235</v>
      </c>
    </row>
    <row r="35" customFormat="false" ht="15" hidden="false" customHeight="false" outlineLevel="0" collapsed="false">
      <c r="A35" s="26" t="s">
        <v>308</v>
      </c>
      <c r="B35" s="19" t="s">
        <v>238</v>
      </c>
    </row>
    <row r="36" customFormat="false" ht="15" hidden="false" customHeight="false" outlineLevel="0" collapsed="false">
      <c r="A36" s="26" t="s">
        <v>309</v>
      </c>
      <c r="B36" s="19" t="s">
        <v>241</v>
      </c>
    </row>
    <row r="37" customFormat="false" ht="15" hidden="false" customHeight="false" outlineLevel="0" collapsed="false">
      <c r="A37" s="26" t="s">
        <v>310</v>
      </c>
      <c r="B37" s="19" t="s">
        <v>311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20"/>
    <col collapsed="false" customWidth="true" hidden="false" outlineLevel="0" max="4" min="4" style="0" width="15"/>
    <col collapsed="false" customWidth="true" hidden="false" outlineLevel="0" max="5" min="5" style="0" width="17"/>
    <col collapsed="false" customWidth="true" hidden="false" outlineLevel="0" max="6" min="6" style="0" width="6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10" min="9" style="0" width="9"/>
    <col collapsed="false" customWidth="true" hidden="false" outlineLevel="0" max="11" min="11" style="0" width="34"/>
  </cols>
  <sheetData>
    <row r="1" customFormat="false" ht="17.35" hidden="false" customHeight="false" outlineLevel="0" collapsed="false">
      <c r="A1" s="1" t="s">
        <v>312</v>
      </c>
    </row>
    <row r="2" customFormat="false" ht="15" hidden="false" customHeight="false" outlineLevel="0" collapsed="false">
      <c r="A2" s="2" t="s">
        <v>313</v>
      </c>
    </row>
    <row r="4" customFormat="false" ht="15" hidden="false" customHeight="false" outlineLevel="0" collapsed="false">
      <c r="A4" s="24" t="s">
        <v>15</v>
      </c>
      <c r="B4" s="24" t="s">
        <v>16</v>
      </c>
      <c r="C4" s="24" t="s">
        <v>9</v>
      </c>
      <c r="D4" s="24" t="s">
        <v>10</v>
      </c>
      <c r="E4" s="24" t="s">
        <v>11</v>
      </c>
      <c r="F4" s="24" t="s">
        <v>12</v>
      </c>
      <c r="G4" s="24" t="s">
        <v>5</v>
      </c>
      <c r="H4" s="24" t="s">
        <v>314</v>
      </c>
      <c r="I4" s="24" t="s">
        <v>14</v>
      </c>
      <c r="J4" s="24" t="s">
        <v>315</v>
      </c>
      <c r="K4" s="24" t="s">
        <v>316</v>
      </c>
    </row>
    <row r="5" customFormat="false" ht="15" hidden="false" customHeight="false" outlineLevel="0" collapsed="false">
      <c r="A5" s="27" t="s">
        <v>317</v>
      </c>
      <c r="B5" s="28" t="s">
        <v>39</v>
      </c>
      <c r="C5" s="28" t="s">
        <v>24</v>
      </c>
      <c r="D5" s="28" t="s">
        <v>36</v>
      </c>
      <c r="E5" s="28" t="s">
        <v>32</v>
      </c>
      <c r="F5" s="28" t="n">
        <v>2025</v>
      </c>
      <c r="G5" s="28" t="s">
        <v>23</v>
      </c>
      <c r="H5" s="29" t="n">
        <v>789</v>
      </c>
      <c r="I5" s="28" t="s">
        <v>318</v>
      </c>
      <c r="J5" s="28" t="n">
        <v>1947</v>
      </c>
      <c r="K5" s="30" t="s">
        <v>319</v>
      </c>
    </row>
    <row r="6" customFormat="false" ht="15" hidden="false" customHeight="false" outlineLevel="0" collapsed="false">
      <c r="A6" s="27" t="s">
        <v>317</v>
      </c>
      <c r="B6" s="28" t="s">
        <v>33</v>
      </c>
      <c r="C6" s="28" t="s">
        <v>24</v>
      </c>
      <c r="D6" s="28" t="s">
        <v>25</v>
      </c>
      <c r="E6" s="28" t="s">
        <v>32</v>
      </c>
      <c r="F6" s="28" t="n">
        <v>2025</v>
      </c>
      <c r="G6" s="28" t="s">
        <v>23</v>
      </c>
      <c r="H6" s="29" t="n">
        <v>789</v>
      </c>
      <c r="I6" s="28" t="s">
        <v>318</v>
      </c>
      <c r="J6" s="28" t="n">
        <v>1947</v>
      </c>
      <c r="K6" s="30" t="s">
        <v>319</v>
      </c>
    </row>
    <row r="7" customFormat="false" ht="15" hidden="false" customHeight="false" outlineLevel="0" collapsed="false">
      <c r="A7" s="27" t="s">
        <v>317</v>
      </c>
      <c r="B7" s="28" t="s">
        <v>28</v>
      </c>
      <c r="C7" s="28" t="s">
        <v>24</v>
      </c>
      <c r="D7" s="28" t="s">
        <v>25</v>
      </c>
      <c r="E7" s="28" t="s">
        <v>26</v>
      </c>
      <c r="F7" s="28" t="n">
        <v>2025</v>
      </c>
      <c r="G7" s="28" t="s">
        <v>23</v>
      </c>
      <c r="H7" s="29" t="n">
        <v>789</v>
      </c>
      <c r="I7" s="28" t="s">
        <v>318</v>
      </c>
      <c r="J7" s="28" t="n">
        <v>1947</v>
      </c>
      <c r="K7" s="30" t="s">
        <v>319</v>
      </c>
    </row>
    <row r="8" customFormat="false" ht="15" hidden="false" customHeight="false" outlineLevel="0" collapsed="false">
      <c r="A8" s="27" t="s">
        <v>317</v>
      </c>
      <c r="B8" s="28" t="s">
        <v>51</v>
      </c>
      <c r="C8" s="28" t="s">
        <v>41</v>
      </c>
      <c r="D8" s="28" t="s">
        <v>50</v>
      </c>
      <c r="E8" s="28" t="s">
        <v>43</v>
      </c>
      <c r="F8" s="28" t="n">
        <v>2025</v>
      </c>
      <c r="G8" s="28" t="s">
        <v>23</v>
      </c>
      <c r="H8" s="29" t="n">
        <v>789</v>
      </c>
      <c r="I8" s="28" t="s">
        <v>318</v>
      </c>
      <c r="J8" s="28" t="n">
        <v>1947</v>
      </c>
      <c r="K8" s="30" t="s">
        <v>319</v>
      </c>
    </row>
    <row r="9" customFormat="false" ht="15" hidden="false" customHeight="false" outlineLevel="0" collapsed="false">
      <c r="A9" s="27" t="s">
        <v>317</v>
      </c>
      <c r="B9" s="28" t="s">
        <v>76</v>
      </c>
      <c r="C9" s="28" t="s">
        <v>69</v>
      </c>
      <c r="D9" s="28" t="s">
        <v>75</v>
      </c>
      <c r="E9" s="28" t="s">
        <v>43</v>
      </c>
      <c r="F9" s="28" t="n">
        <v>2025</v>
      </c>
      <c r="G9" s="28" t="s">
        <v>23</v>
      </c>
      <c r="H9" s="29" t="n">
        <v>789</v>
      </c>
      <c r="I9" s="28" t="s">
        <v>318</v>
      </c>
      <c r="J9" s="28" t="n">
        <v>1947</v>
      </c>
      <c r="K9" s="30" t="s">
        <v>319</v>
      </c>
    </row>
    <row r="10" customFormat="false" ht="15" hidden="false" customHeight="false" outlineLevel="0" collapsed="false">
      <c r="A10" s="27" t="s">
        <v>317</v>
      </c>
      <c r="B10" s="28" t="s">
        <v>64</v>
      </c>
      <c r="C10" s="28" t="s">
        <v>55</v>
      </c>
      <c r="D10" s="28" t="s">
        <v>63</v>
      </c>
      <c r="E10" s="28" t="s">
        <v>43</v>
      </c>
      <c r="F10" s="28" t="n">
        <v>2025</v>
      </c>
      <c r="G10" s="28" t="s">
        <v>23</v>
      </c>
      <c r="H10" s="29" t="n">
        <v>789</v>
      </c>
      <c r="I10" s="28" t="s">
        <v>318</v>
      </c>
      <c r="J10" s="28" t="n">
        <v>1947</v>
      </c>
      <c r="K10" s="30" t="s">
        <v>319</v>
      </c>
    </row>
    <row r="11" customFormat="false" ht="15" hidden="false" customHeight="false" outlineLevel="0" collapsed="false">
      <c r="A11" s="27" t="s">
        <v>317</v>
      </c>
      <c r="B11" s="28" t="s">
        <v>53</v>
      </c>
      <c r="C11" s="28" t="s">
        <v>41</v>
      </c>
      <c r="D11" s="28" t="s">
        <v>50</v>
      </c>
      <c r="E11" s="28" t="s">
        <v>46</v>
      </c>
      <c r="F11" s="28" t="n">
        <v>2025</v>
      </c>
      <c r="G11" s="28" t="s">
        <v>23</v>
      </c>
      <c r="H11" s="29" t="n">
        <v>789</v>
      </c>
      <c r="I11" s="28" t="s">
        <v>318</v>
      </c>
      <c r="J11" s="28" t="n">
        <v>1947</v>
      </c>
      <c r="K11" s="30" t="s">
        <v>319</v>
      </c>
    </row>
    <row r="12" customFormat="false" ht="15" hidden="false" customHeight="false" outlineLevel="0" collapsed="false">
      <c r="A12" s="27" t="s">
        <v>317</v>
      </c>
      <c r="B12" s="28" t="s">
        <v>47</v>
      </c>
      <c r="C12" s="28" t="s">
        <v>41</v>
      </c>
      <c r="D12" s="28" t="s">
        <v>42</v>
      </c>
      <c r="E12" s="28" t="s">
        <v>46</v>
      </c>
      <c r="F12" s="28" t="n">
        <v>2025</v>
      </c>
      <c r="G12" s="28" t="s">
        <v>23</v>
      </c>
      <c r="H12" s="29" t="n">
        <v>789</v>
      </c>
      <c r="I12" s="28" t="s">
        <v>318</v>
      </c>
      <c r="J12" s="28" t="n">
        <v>1947</v>
      </c>
      <c r="K12" s="30" t="s">
        <v>319</v>
      </c>
    </row>
    <row r="13" customFormat="false" ht="15" hidden="false" customHeight="false" outlineLevel="0" collapsed="false">
      <c r="A13" s="27" t="s">
        <v>317</v>
      </c>
      <c r="B13" s="28" t="s">
        <v>73</v>
      </c>
      <c r="C13" s="28" t="s">
        <v>69</v>
      </c>
      <c r="D13" s="28" t="s">
        <v>70</v>
      </c>
      <c r="E13" s="28" t="s">
        <v>59</v>
      </c>
      <c r="F13" s="28" t="n">
        <v>2025</v>
      </c>
      <c r="G13" s="28" t="s">
        <v>23</v>
      </c>
      <c r="H13" s="29" t="n">
        <v>789</v>
      </c>
      <c r="I13" s="28" t="s">
        <v>318</v>
      </c>
      <c r="J13" s="28" t="n">
        <v>1947</v>
      </c>
      <c r="K13" s="30" t="s">
        <v>319</v>
      </c>
    </row>
    <row r="14" customFormat="false" ht="15" hidden="false" customHeight="false" outlineLevel="0" collapsed="false">
      <c r="A14" s="27" t="s">
        <v>317</v>
      </c>
      <c r="B14" s="28" t="s">
        <v>78</v>
      </c>
      <c r="C14" s="28" t="s">
        <v>69</v>
      </c>
      <c r="D14" s="28" t="s">
        <v>75</v>
      </c>
      <c r="E14" s="28" t="s">
        <v>59</v>
      </c>
      <c r="F14" s="28" t="n">
        <v>2025</v>
      </c>
      <c r="G14" s="28" t="s">
        <v>23</v>
      </c>
      <c r="H14" s="29" t="n">
        <v>789</v>
      </c>
      <c r="I14" s="28" t="s">
        <v>318</v>
      </c>
      <c r="J14" s="28" t="n">
        <v>1947</v>
      </c>
      <c r="K14" s="30" t="s">
        <v>319</v>
      </c>
    </row>
    <row r="15" customFormat="false" ht="15" hidden="false" customHeight="false" outlineLevel="0" collapsed="false">
      <c r="A15" s="27" t="s">
        <v>317</v>
      </c>
      <c r="B15" s="28" t="s">
        <v>67</v>
      </c>
      <c r="C15" s="28" t="s">
        <v>55</v>
      </c>
      <c r="D15" s="28" t="s">
        <v>63</v>
      </c>
      <c r="E15" s="28" t="s">
        <v>59</v>
      </c>
      <c r="F15" s="28" t="n">
        <v>2025</v>
      </c>
      <c r="G15" s="28" t="s">
        <v>23</v>
      </c>
      <c r="H15" s="29" t="n">
        <v>789</v>
      </c>
      <c r="I15" s="28" t="s">
        <v>318</v>
      </c>
      <c r="J15" s="28" t="n">
        <v>1947</v>
      </c>
      <c r="K15" s="30" t="s">
        <v>319</v>
      </c>
    </row>
    <row r="16" customFormat="false" ht="15" hidden="false" customHeight="false" outlineLevel="0" collapsed="false">
      <c r="A16" s="27" t="s">
        <v>320</v>
      </c>
      <c r="B16" s="28" t="s">
        <v>321</v>
      </c>
      <c r="C16" s="28" t="s">
        <v>41</v>
      </c>
      <c r="D16" s="28" t="s">
        <v>50</v>
      </c>
      <c r="E16" s="28" t="s">
        <v>43</v>
      </c>
      <c r="F16" s="28" t="n">
        <v>2025</v>
      </c>
      <c r="G16" s="28" t="s">
        <v>23</v>
      </c>
      <c r="H16" s="29" t="n">
        <v>879</v>
      </c>
      <c r="I16" s="28" t="s">
        <v>318</v>
      </c>
      <c r="J16" s="28" t="n">
        <v>791</v>
      </c>
      <c r="K16" s="28" t="s">
        <v>322</v>
      </c>
    </row>
    <row r="17" customFormat="false" ht="15" hidden="false" customHeight="false" outlineLevel="0" collapsed="false">
      <c r="A17" s="27" t="s">
        <v>320</v>
      </c>
      <c r="B17" s="28" t="s">
        <v>44</v>
      </c>
      <c r="C17" s="28" t="s">
        <v>41</v>
      </c>
      <c r="D17" s="28" t="s">
        <v>42</v>
      </c>
      <c r="E17" s="28" t="s">
        <v>43</v>
      </c>
      <c r="F17" s="28" t="n">
        <v>2025</v>
      </c>
      <c r="G17" s="28" t="s">
        <v>23</v>
      </c>
      <c r="H17" s="29" t="n">
        <v>879</v>
      </c>
      <c r="I17" s="28" t="s">
        <v>318</v>
      </c>
      <c r="J17" s="28" t="n">
        <v>791</v>
      </c>
      <c r="K17" s="30" t="s">
        <v>319</v>
      </c>
    </row>
    <row r="18" customFormat="false" ht="15" hidden="false" customHeight="false" outlineLevel="0" collapsed="false">
      <c r="A18" s="27" t="s">
        <v>320</v>
      </c>
      <c r="B18" s="28" t="s">
        <v>323</v>
      </c>
      <c r="C18" s="28" t="s">
        <v>41</v>
      </c>
      <c r="D18" s="28" t="s">
        <v>50</v>
      </c>
      <c r="E18" s="28" t="s">
        <v>46</v>
      </c>
      <c r="F18" s="28" t="n">
        <v>2025</v>
      </c>
      <c r="G18" s="28" t="s">
        <v>23</v>
      </c>
      <c r="H18" s="29" t="n">
        <v>879</v>
      </c>
      <c r="I18" s="28" t="s">
        <v>318</v>
      </c>
      <c r="J18" s="28" t="n">
        <v>791</v>
      </c>
      <c r="K18" s="28" t="s">
        <v>322</v>
      </c>
    </row>
    <row r="19" customFormat="false" ht="15" hidden="false" customHeight="false" outlineLevel="0" collapsed="false">
      <c r="A19" s="27" t="s">
        <v>320</v>
      </c>
      <c r="B19" s="28" t="s">
        <v>324</v>
      </c>
      <c r="C19" s="28" t="s">
        <v>24</v>
      </c>
      <c r="D19" s="28" t="s">
        <v>36</v>
      </c>
      <c r="E19" s="28" t="s">
        <v>32</v>
      </c>
      <c r="F19" s="28" t="n">
        <v>2025</v>
      </c>
      <c r="G19" s="28" t="s">
        <v>23</v>
      </c>
      <c r="H19" s="29" t="n">
        <v>879</v>
      </c>
      <c r="I19" s="28" t="s">
        <v>318</v>
      </c>
      <c r="J19" s="28" t="n">
        <v>791</v>
      </c>
      <c r="K19" s="28" t="s">
        <v>322</v>
      </c>
    </row>
    <row r="20" customFormat="false" ht="15" hidden="false" customHeight="false" outlineLevel="0" collapsed="false">
      <c r="A20" s="27" t="s">
        <v>320</v>
      </c>
      <c r="B20" s="28" t="s">
        <v>325</v>
      </c>
      <c r="C20" s="28" t="s">
        <v>24</v>
      </c>
      <c r="D20" s="28" t="s">
        <v>25</v>
      </c>
      <c r="E20" s="28" t="s">
        <v>32</v>
      </c>
      <c r="F20" s="28" t="n">
        <v>2025</v>
      </c>
      <c r="G20" s="28" t="s">
        <v>23</v>
      </c>
      <c r="H20" s="29" t="n">
        <v>879</v>
      </c>
      <c r="I20" s="28" t="s">
        <v>318</v>
      </c>
      <c r="J20" s="28" t="n">
        <v>791</v>
      </c>
      <c r="K20" s="28" t="s">
        <v>322</v>
      </c>
    </row>
    <row r="21" customFormat="false" ht="15" hidden="false" customHeight="false" outlineLevel="0" collapsed="false">
      <c r="A21" s="27" t="s">
        <v>320</v>
      </c>
      <c r="B21" s="28" t="s">
        <v>37</v>
      </c>
      <c r="C21" s="28" t="s">
        <v>24</v>
      </c>
      <c r="D21" s="28" t="s">
        <v>36</v>
      </c>
      <c r="E21" s="28" t="s">
        <v>26</v>
      </c>
      <c r="F21" s="28" t="n">
        <v>2025</v>
      </c>
      <c r="G21" s="28" t="s">
        <v>23</v>
      </c>
      <c r="H21" s="29" t="n">
        <v>879</v>
      </c>
      <c r="I21" s="28" t="s">
        <v>318</v>
      </c>
      <c r="J21" s="28" t="n">
        <v>791</v>
      </c>
      <c r="K21" s="30" t="s">
        <v>319</v>
      </c>
    </row>
    <row r="22" customFormat="false" ht="15" hidden="false" customHeight="false" outlineLevel="0" collapsed="false">
      <c r="A22" s="27" t="s">
        <v>320</v>
      </c>
      <c r="B22" s="28" t="s">
        <v>326</v>
      </c>
      <c r="C22" s="28" t="s">
        <v>24</v>
      </c>
      <c r="D22" s="28" t="s">
        <v>25</v>
      </c>
      <c r="E22" s="28" t="s">
        <v>26</v>
      </c>
      <c r="F22" s="28" t="n">
        <v>2025</v>
      </c>
      <c r="G22" s="28" t="s">
        <v>23</v>
      </c>
      <c r="H22" s="29" t="n">
        <v>879</v>
      </c>
      <c r="I22" s="28" t="s">
        <v>318</v>
      </c>
      <c r="J22" s="28" t="n">
        <v>791</v>
      </c>
      <c r="K22" s="28" t="s">
        <v>322</v>
      </c>
    </row>
    <row r="23" customFormat="false" ht="15" hidden="false" customHeight="false" outlineLevel="0" collapsed="false">
      <c r="A23" s="27" t="s">
        <v>320</v>
      </c>
      <c r="B23" s="28" t="s">
        <v>57</v>
      </c>
      <c r="C23" s="28" t="s">
        <v>55</v>
      </c>
      <c r="D23" s="28" t="s">
        <v>56</v>
      </c>
      <c r="E23" s="28" t="s">
        <v>43</v>
      </c>
      <c r="F23" s="28" t="n">
        <v>2025</v>
      </c>
      <c r="G23" s="28" t="s">
        <v>23</v>
      </c>
      <c r="H23" s="29" t="n">
        <v>879</v>
      </c>
      <c r="I23" s="28" t="s">
        <v>318</v>
      </c>
      <c r="J23" s="28" t="n">
        <v>791</v>
      </c>
      <c r="K23" s="30" t="s">
        <v>319</v>
      </c>
    </row>
    <row r="24" customFormat="false" ht="15" hidden="false" customHeight="false" outlineLevel="0" collapsed="false">
      <c r="A24" s="27" t="s">
        <v>320</v>
      </c>
      <c r="B24" s="28" t="s">
        <v>327</v>
      </c>
      <c r="C24" s="28" t="s">
        <v>55</v>
      </c>
      <c r="D24" s="28" t="s">
        <v>63</v>
      </c>
      <c r="E24" s="28" t="s">
        <v>43</v>
      </c>
      <c r="F24" s="28" t="n">
        <v>2025</v>
      </c>
      <c r="G24" s="28" t="s">
        <v>23</v>
      </c>
      <c r="H24" s="29" t="n">
        <v>879</v>
      </c>
      <c r="I24" s="28" t="s">
        <v>318</v>
      </c>
      <c r="J24" s="28" t="n">
        <v>791</v>
      </c>
      <c r="K24" s="28" t="s">
        <v>322</v>
      </c>
    </row>
    <row r="25" customFormat="false" ht="15" hidden="false" customHeight="false" outlineLevel="0" collapsed="false">
      <c r="A25" s="27" t="s">
        <v>320</v>
      </c>
      <c r="B25" s="28" t="s">
        <v>71</v>
      </c>
      <c r="C25" s="28" t="s">
        <v>69</v>
      </c>
      <c r="D25" s="28" t="s">
        <v>70</v>
      </c>
      <c r="E25" s="28" t="s">
        <v>43</v>
      </c>
      <c r="F25" s="28" t="n">
        <v>2025</v>
      </c>
      <c r="G25" s="28" t="s">
        <v>23</v>
      </c>
      <c r="H25" s="29" t="n">
        <v>879</v>
      </c>
      <c r="I25" s="28" t="s">
        <v>318</v>
      </c>
      <c r="J25" s="28" t="n">
        <v>791</v>
      </c>
      <c r="K25" s="30" t="s">
        <v>319</v>
      </c>
    </row>
    <row r="26" customFormat="false" ht="15" hidden="false" customHeight="false" outlineLevel="0" collapsed="false">
      <c r="A26" s="27" t="s">
        <v>320</v>
      </c>
      <c r="B26" s="28" t="s">
        <v>328</v>
      </c>
      <c r="C26" s="28" t="s">
        <v>69</v>
      </c>
      <c r="D26" s="28" t="s">
        <v>75</v>
      </c>
      <c r="E26" s="28" t="s">
        <v>43</v>
      </c>
      <c r="F26" s="28" t="n">
        <v>2025</v>
      </c>
      <c r="G26" s="28" t="s">
        <v>23</v>
      </c>
      <c r="H26" s="29" t="n">
        <v>879</v>
      </c>
      <c r="I26" s="28" t="s">
        <v>318</v>
      </c>
      <c r="J26" s="28" t="n">
        <v>791</v>
      </c>
      <c r="K26" s="28" t="s">
        <v>322</v>
      </c>
    </row>
    <row r="27" customFormat="false" ht="15" hidden="false" customHeight="false" outlineLevel="0" collapsed="false">
      <c r="A27" s="27" t="s">
        <v>320</v>
      </c>
      <c r="B27" s="28" t="s">
        <v>82</v>
      </c>
      <c r="C27" s="28" t="s">
        <v>80</v>
      </c>
      <c r="D27" s="28" t="s">
        <v>81</v>
      </c>
      <c r="E27" s="28" t="s">
        <v>43</v>
      </c>
      <c r="F27" s="28" t="n">
        <v>2025</v>
      </c>
      <c r="G27" s="28" t="s">
        <v>23</v>
      </c>
      <c r="H27" s="29" t="n">
        <v>879</v>
      </c>
      <c r="I27" s="28" t="s">
        <v>318</v>
      </c>
      <c r="J27" s="28" t="n">
        <v>791</v>
      </c>
      <c r="K27" s="30" t="s">
        <v>319</v>
      </c>
    </row>
    <row r="28" customFormat="false" ht="15" hidden="false" customHeight="false" outlineLevel="0" collapsed="false">
      <c r="A28" s="27" t="s">
        <v>320</v>
      </c>
      <c r="B28" s="28" t="s">
        <v>85</v>
      </c>
      <c r="C28" s="28" t="s">
        <v>80</v>
      </c>
      <c r="D28" s="28" t="s">
        <v>84</v>
      </c>
      <c r="E28" s="28" t="s">
        <v>43</v>
      </c>
      <c r="F28" s="28" t="n">
        <v>2025</v>
      </c>
      <c r="G28" s="28" t="s">
        <v>23</v>
      </c>
      <c r="H28" s="29" t="n">
        <v>879</v>
      </c>
      <c r="I28" s="28" t="s">
        <v>318</v>
      </c>
      <c r="J28" s="28" t="n">
        <v>791</v>
      </c>
      <c r="K28" s="30" t="s">
        <v>319</v>
      </c>
    </row>
    <row r="29" customFormat="false" ht="15" hidden="false" customHeight="false" outlineLevel="0" collapsed="false">
      <c r="A29" s="27" t="s">
        <v>320</v>
      </c>
      <c r="B29" s="28" t="s">
        <v>94</v>
      </c>
      <c r="C29" s="28" t="s">
        <v>87</v>
      </c>
      <c r="D29" s="28" t="s">
        <v>93</v>
      </c>
      <c r="E29" s="28" t="s">
        <v>89</v>
      </c>
      <c r="F29" s="28" t="n">
        <v>2025</v>
      </c>
      <c r="G29" s="28" t="s">
        <v>23</v>
      </c>
      <c r="H29" s="29" t="n">
        <v>879</v>
      </c>
      <c r="I29" s="28" t="s">
        <v>318</v>
      </c>
      <c r="J29" s="28" t="n">
        <v>791</v>
      </c>
      <c r="K29" s="30" t="s">
        <v>319</v>
      </c>
    </row>
    <row r="30" customFormat="false" ht="15" hidden="false" customHeight="false" outlineLevel="0" collapsed="false">
      <c r="A30" s="27" t="s">
        <v>320</v>
      </c>
      <c r="B30" s="28" t="s">
        <v>90</v>
      </c>
      <c r="C30" s="28" t="s">
        <v>87</v>
      </c>
      <c r="D30" s="28" t="s">
        <v>88</v>
      </c>
      <c r="E30" s="28" t="s">
        <v>89</v>
      </c>
      <c r="F30" s="28" t="n">
        <v>2025</v>
      </c>
      <c r="G30" s="28" t="s">
        <v>23</v>
      </c>
      <c r="H30" s="29" t="n">
        <v>879</v>
      </c>
      <c r="I30" s="28" t="s">
        <v>318</v>
      </c>
      <c r="J30" s="28" t="n">
        <v>791</v>
      </c>
      <c r="K30" s="30" t="s">
        <v>319</v>
      </c>
    </row>
    <row r="31" customFormat="false" ht="15" hidden="false" customHeight="false" outlineLevel="0" collapsed="false">
      <c r="A31" s="27" t="s">
        <v>320</v>
      </c>
      <c r="B31" s="28" t="s">
        <v>329</v>
      </c>
      <c r="C31" s="28" t="s">
        <v>69</v>
      </c>
      <c r="D31" s="28" t="s">
        <v>70</v>
      </c>
      <c r="E31" s="28" t="s">
        <v>59</v>
      </c>
      <c r="F31" s="28" t="n">
        <v>2025</v>
      </c>
      <c r="G31" s="28" t="s">
        <v>23</v>
      </c>
      <c r="H31" s="29" t="n">
        <v>879</v>
      </c>
      <c r="I31" s="28" t="s">
        <v>318</v>
      </c>
      <c r="J31" s="28" t="n">
        <v>791</v>
      </c>
      <c r="K31" s="28" t="s">
        <v>322</v>
      </c>
    </row>
    <row r="32" customFormat="false" ht="15" hidden="false" customHeight="false" outlineLevel="0" collapsed="false">
      <c r="A32" s="27" t="s">
        <v>320</v>
      </c>
      <c r="B32" s="28" t="s">
        <v>60</v>
      </c>
      <c r="C32" s="28" t="s">
        <v>55</v>
      </c>
      <c r="D32" s="28" t="s">
        <v>56</v>
      </c>
      <c r="E32" s="28" t="s">
        <v>59</v>
      </c>
      <c r="F32" s="28" t="n">
        <v>2025</v>
      </c>
      <c r="G32" s="28" t="s">
        <v>23</v>
      </c>
      <c r="H32" s="29" t="n">
        <v>879</v>
      </c>
      <c r="I32" s="28" t="s">
        <v>318</v>
      </c>
      <c r="J32" s="28" t="n">
        <v>791</v>
      </c>
      <c r="K32" s="30" t="s">
        <v>319</v>
      </c>
    </row>
    <row r="33" customFormat="false" ht="15" hidden="false" customHeight="false" outlineLevel="0" collapsed="false">
      <c r="A33" s="27" t="s">
        <v>320</v>
      </c>
      <c r="B33" s="28" t="s">
        <v>330</v>
      </c>
      <c r="C33" s="28" t="s">
        <v>55</v>
      </c>
      <c r="D33" s="28" t="s">
        <v>63</v>
      </c>
      <c r="E33" s="28" t="s">
        <v>59</v>
      </c>
      <c r="F33" s="28" t="n">
        <v>2025</v>
      </c>
      <c r="G33" s="28" t="s">
        <v>23</v>
      </c>
      <c r="H33" s="29" t="n">
        <v>879</v>
      </c>
      <c r="I33" s="28" t="s">
        <v>318</v>
      </c>
      <c r="J33" s="28" t="n">
        <v>791</v>
      </c>
      <c r="K33" s="28" t="s">
        <v>322</v>
      </c>
    </row>
    <row r="34" customFormat="false" ht="15" hidden="false" customHeight="false" outlineLevel="0" collapsed="false">
      <c r="A34" s="27" t="s">
        <v>320</v>
      </c>
      <c r="B34" s="28" t="s">
        <v>331</v>
      </c>
      <c r="C34" s="28" t="s">
        <v>69</v>
      </c>
      <c r="D34" s="28" t="s">
        <v>75</v>
      </c>
      <c r="E34" s="28" t="s">
        <v>59</v>
      </c>
      <c r="F34" s="28" t="n">
        <v>2025</v>
      </c>
      <c r="G34" s="28" t="s">
        <v>23</v>
      </c>
      <c r="H34" s="29" t="n">
        <v>879</v>
      </c>
      <c r="I34" s="28" t="s">
        <v>318</v>
      </c>
      <c r="J34" s="28" t="n">
        <v>791</v>
      </c>
      <c r="K34" s="28" t="s">
        <v>322</v>
      </c>
    </row>
    <row r="35" customFormat="false" ht="15" hidden="false" customHeight="false" outlineLevel="0" collapsed="false">
      <c r="A35" s="27" t="s">
        <v>332</v>
      </c>
      <c r="B35" s="28" t="s">
        <v>101</v>
      </c>
      <c r="C35" s="28" t="s">
        <v>97</v>
      </c>
      <c r="D35" s="28" t="s">
        <v>50</v>
      </c>
      <c r="E35" s="28" t="s">
        <v>43</v>
      </c>
      <c r="F35" s="28" t="n">
        <v>2026</v>
      </c>
      <c r="G35" s="28" t="s">
        <v>23</v>
      </c>
      <c r="H35" s="29" t="n">
        <v>1489</v>
      </c>
      <c r="I35" s="28" t="s">
        <v>333</v>
      </c>
      <c r="J35" s="28" t="n">
        <v>45</v>
      </c>
      <c r="K35" s="30" t="s">
        <v>319</v>
      </c>
    </row>
    <row r="36" customFormat="false" ht="15" hidden="false" customHeight="false" outlineLevel="0" collapsed="false">
      <c r="A36" s="27" t="s">
        <v>332</v>
      </c>
      <c r="B36" s="28" t="s">
        <v>98</v>
      </c>
      <c r="C36" s="28" t="s">
        <v>97</v>
      </c>
      <c r="D36" s="28" t="s">
        <v>42</v>
      </c>
      <c r="E36" s="28" t="s">
        <v>43</v>
      </c>
      <c r="F36" s="28" t="n">
        <v>2026</v>
      </c>
      <c r="G36" s="28" t="s">
        <v>23</v>
      </c>
      <c r="H36" s="29" t="n">
        <v>1489</v>
      </c>
      <c r="I36" s="28" t="s">
        <v>333</v>
      </c>
      <c r="J36" s="28" t="n">
        <v>45</v>
      </c>
      <c r="K36" s="30" t="s">
        <v>319</v>
      </c>
    </row>
    <row r="37" customFormat="false" ht="15" hidden="false" customHeight="false" outlineLevel="0" collapsed="false">
      <c r="A37" s="27" t="s">
        <v>334</v>
      </c>
      <c r="B37" s="28" t="s">
        <v>104</v>
      </c>
      <c r="C37" s="28" t="s">
        <v>103</v>
      </c>
      <c r="D37" s="28" t="s">
        <v>56</v>
      </c>
      <c r="E37" s="28" t="s">
        <v>43</v>
      </c>
      <c r="F37" s="28" t="n">
        <v>2026</v>
      </c>
      <c r="G37" s="28" t="s">
        <v>23</v>
      </c>
      <c r="H37" s="29" t="n">
        <v>1489</v>
      </c>
      <c r="I37" s="28" t="s">
        <v>333</v>
      </c>
      <c r="J37" s="28" t="n">
        <v>31</v>
      </c>
      <c r="K37" s="30" t="s">
        <v>319</v>
      </c>
    </row>
    <row r="38" customFormat="false" ht="15" hidden="false" customHeight="false" outlineLevel="0" collapsed="false">
      <c r="A38" s="27" t="s">
        <v>334</v>
      </c>
      <c r="B38" s="28" t="s">
        <v>106</v>
      </c>
      <c r="C38" s="28" t="s">
        <v>103</v>
      </c>
      <c r="D38" s="28" t="s">
        <v>63</v>
      </c>
      <c r="E38" s="28" t="s">
        <v>43</v>
      </c>
      <c r="F38" s="28" t="n">
        <v>2026</v>
      </c>
      <c r="G38" s="28" t="s">
        <v>23</v>
      </c>
      <c r="H38" s="29" t="n">
        <v>1489</v>
      </c>
      <c r="I38" s="28" t="s">
        <v>333</v>
      </c>
      <c r="J38" s="28" t="n">
        <v>31</v>
      </c>
      <c r="K38" s="30" t="s">
        <v>319</v>
      </c>
    </row>
    <row r="39" customFormat="false" ht="15" hidden="false" customHeight="false" outlineLevel="0" collapsed="false">
      <c r="A39" s="27" t="s">
        <v>335</v>
      </c>
      <c r="B39" s="28" t="s">
        <v>112</v>
      </c>
      <c r="C39" s="28" t="s">
        <v>110</v>
      </c>
      <c r="D39" s="28" t="s">
        <v>36</v>
      </c>
      <c r="E39" s="28" t="s">
        <v>111</v>
      </c>
      <c r="F39" s="28" t="n">
        <v>2023</v>
      </c>
      <c r="G39" s="28" t="s">
        <v>109</v>
      </c>
      <c r="H39" s="29" t="n">
        <v>2682</v>
      </c>
      <c r="I39" s="28" t="s">
        <v>318</v>
      </c>
      <c r="J39" s="28" t="n">
        <v>653</v>
      </c>
      <c r="K39" s="30" t="s">
        <v>319</v>
      </c>
    </row>
    <row r="40" customFormat="false" ht="15" hidden="false" customHeight="false" outlineLevel="0" collapsed="false">
      <c r="A40" s="27" t="s">
        <v>335</v>
      </c>
      <c r="B40" s="28" t="s">
        <v>120</v>
      </c>
      <c r="C40" s="28" t="s">
        <v>115</v>
      </c>
      <c r="D40" s="28" t="s">
        <v>36</v>
      </c>
      <c r="E40" s="28" t="s">
        <v>43</v>
      </c>
      <c r="F40" s="28" t="n">
        <v>2024</v>
      </c>
      <c r="G40" s="28" t="s">
        <v>109</v>
      </c>
      <c r="H40" s="29" t="n">
        <v>2659</v>
      </c>
      <c r="I40" s="28" t="s">
        <v>318</v>
      </c>
      <c r="J40" s="28" t="n">
        <v>653</v>
      </c>
      <c r="K40" s="28" t="s">
        <v>336</v>
      </c>
    </row>
    <row r="41" customFormat="false" ht="15" hidden="false" customHeight="false" outlineLevel="0" collapsed="false">
      <c r="A41" s="27" t="s">
        <v>335</v>
      </c>
      <c r="B41" s="28" t="s">
        <v>117</v>
      </c>
      <c r="C41" s="28" t="s">
        <v>115</v>
      </c>
      <c r="D41" s="28" t="s">
        <v>116</v>
      </c>
      <c r="E41" s="28" t="s">
        <v>43</v>
      </c>
      <c r="F41" s="28" t="n">
        <v>2024</v>
      </c>
      <c r="G41" s="28" t="s">
        <v>109</v>
      </c>
      <c r="H41" s="29" t="n">
        <v>2439</v>
      </c>
      <c r="I41" s="28" t="s">
        <v>318</v>
      </c>
      <c r="J41" s="28" t="n">
        <v>653</v>
      </c>
      <c r="K41" s="28" t="s">
        <v>337</v>
      </c>
    </row>
    <row r="42" customFormat="false" ht="15" hidden="false" customHeight="false" outlineLevel="0" collapsed="false">
      <c r="A42" s="27" t="s">
        <v>335</v>
      </c>
      <c r="B42" s="28" t="s">
        <v>135</v>
      </c>
      <c r="C42" s="28" t="s">
        <v>134</v>
      </c>
      <c r="D42" s="28" t="s">
        <v>42</v>
      </c>
      <c r="E42" s="28" t="s">
        <v>43</v>
      </c>
      <c r="F42" s="28" t="n">
        <v>2024</v>
      </c>
      <c r="G42" s="28" t="s">
        <v>109</v>
      </c>
      <c r="H42" s="29" t="n">
        <v>2649</v>
      </c>
      <c r="I42" s="28" t="s">
        <v>318</v>
      </c>
      <c r="J42" s="28" t="n">
        <v>653</v>
      </c>
      <c r="K42" s="28" t="s">
        <v>338</v>
      </c>
    </row>
    <row r="43" customFormat="false" ht="15" hidden="false" customHeight="false" outlineLevel="0" collapsed="false">
      <c r="A43" s="27" t="s">
        <v>335</v>
      </c>
      <c r="B43" s="28" t="s">
        <v>128</v>
      </c>
      <c r="C43" s="28" t="s">
        <v>123</v>
      </c>
      <c r="D43" s="28" t="s">
        <v>50</v>
      </c>
      <c r="E43" s="28" t="s">
        <v>127</v>
      </c>
      <c r="F43" s="28" t="n">
        <v>2024</v>
      </c>
      <c r="G43" s="28" t="s">
        <v>109</v>
      </c>
      <c r="H43" s="29" t="n">
        <v>2679</v>
      </c>
      <c r="I43" s="28" t="s">
        <v>318</v>
      </c>
      <c r="J43" s="28" t="n">
        <v>653</v>
      </c>
      <c r="K43" s="30" t="s">
        <v>319</v>
      </c>
    </row>
    <row r="44" customFormat="false" ht="15" hidden="false" customHeight="false" outlineLevel="0" collapsed="false">
      <c r="A44" s="27" t="s">
        <v>335</v>
      </c>
      <c r="B44" s="28" t="s">
        <v>149</v>
      </c>
      <c r="C44" s="28" t="s">
        <v>80</v>
      </c>
      <c r="D44" s="28" t="s">
        <v>84</v>
      </c>
      <c r="E44" s="28" t="s">
        <v>43</v>
      </c>
      <c r="F44" s="28" t="n">
        <v>2025</v>
      </c>
      <c r="G44" s="28" t="s">
        <v>109</v>
      </c>
      <c r="H44" s="29" t="n">
        <v>2430</v>
      </c>
      <c r="I44" s="28" t="s">
        <v>318</v>
      </c>
      <c r="J44" s="28" t="n">
        <v>653</v>
      </c>
      <c r="K44" s="28" t="s">
        <v>339</v>
      </c>
    </row>
    <row r="45" customFormat="false" ht="15" hidden="false" customHeight="false" outlineLevel="0" collapsed="false">
      <c r="A45" s="27" t="s">
        <v>335</v>
      </c>
      <c r="B45" s="28" t="s">
        <v>124</v>
      </c>
      <c r="C45" s="28" t="s">
        <v>123</v>
      </c>
      <c r="D45" s="28" t="s">
        <v>50</v>
      </c>
      <c r="E45" s="28" t="s">
        <v>43</v>
      </c>
      <c r="F45" s="28" t="n">
        <v>2024</v>
      </c>
      <c r="G45" s="28" t="s">
        <v>109</v>
      </c>
      <c r="H45" s="29" t="n">
        <v>2461</v>
      </c>
      <c r="I45" s="28" t="s">
        <v>318</v>
      </c>
      <c r="J45" s="28" t="n">
        <v>653</v>
      </c>
      <c r="K45" s="28" t="s">
        <v>340</v>
      </c>
    </row>
    <row r="46" customFormat="false" ht="15" hidden="false" customHeight="false" outlineLevel="0" collapsed="false">
      <c r="A46" s="27" t="s">
        <v>341</v>
      </c>
      <c r="B46" s="28" t="s">
        <v>145</v>
      </c>
      <c r="C46" s="28" t="s">
        <v>140</v>
      </c>
      <c r="D46" s="28" t="s">
        <v>75</v>
      </c>
      <c r="E46" s="28" t="s">
        <v>43</v>
      </c>
      <c r="F46" s="28" t="n">
        <v>2024</v>
      </c>
      <c r="G46" s="28" t="s">
        <v>109</v>
      </c>
      <c r="H46" s="29" t="n">
        <v>2549</v>
      </c>
      <c r="I46" s="28" t="s">
        <v>318</v>
      </c>
      <c r="J46" s="28" t="n">
        <v>651</v>
      </c>
      <c r="K46" s="30" t="s">
        <v>319</v>
      </c>
    </row>
    <row r="47" customFormat="false" ht="15" hidden="false" customHeight="false" outlineLevel="0" collapsed="false">
      <c r="A47" s="27" t="s">
        <v>341</v>
      </c>
      <c r="B47" s="28" t="s">
        <v>120</v>
      </c>
      <c r="C47" s="28" t="s">
        <v>115</v>
      </c>
      <c r="D47" s="28" t="s">
        <v>36</v>
      </c>
      <c r="E47" s="28" t="s">
        <v>43</v>
      </c>
      <c r="F47" s="28" t="n">
        <v>2024</v>
      </c>
      <c r="G47" s="28" t="s">
        <v>109</v>
      </c>
      <c r="H47" s="29" t="n">
        <v>2522</v>
      </c>
      <c r="I47" s="28" t="s">
        <v>318</v>
      </c>
      <c r="J47" s="28" t="n">
        <v>651</v>
      </c>
      <c r="K47" s="28" t="s">
        <v>336</v>
      </c>
    </row>
    <row r="48" customFormat="false" ht="15" hidden="false" customHeight="false" outlineLevel="0" collapsed="false">
      <c r="A48" s="27" t="s">
        <v>341</v>
      </c>
      <c r="B48" s="28" t="s">
        <v>117</v>
      </c>
      <c r="C48" s="28" t="s">
        <v>115</v>
      </c>
      <c r="D48" s="28" t="s">
        <v>116</v>
      </c>
      <c r="E48" s="28" t="s">
        <v>43</v>
      </c>
      <c r="F48" s="28" t="n">
        <v>2024</v>
      </c>
      <c r="G48" s="28" t="s">
        <v>109</v>
      </c>
      <c r="H48" s="29" t="n">
        <v>2312</v>
      </c>
      <c r="I48" s="28" t="s">
        <v>318</v>
      </c>
      <c r="J48" s="28" t="n">
        <v>651</v>
      </c>
      <c r="K48" s="30" t="s">
        <v>319</v>
      </c>
    </row>
    <row r="49" customFormat="false" ht="15" hidden="false" customHeight="false" outlineLevel="0" collapsed="false">
      <c r="A49" s="27" t="s">
        <v>341</v>
      </c>
      <c r="B49" s="28" t="s">
        <v>138</v>
      </c>
      <c r="C49" s="28" t="s">
        <v>134</v>
      </c>
      <c r="D49" s="28" t="s">
        <v>63</v>
      </c>
      <c r="E49" s="28" t="s">
        <v>43</v>
      </c>
      <c r="F49" s="28" t="n">
        <v>2024</v>
      </c>
      <c r="G49" s="28" t="s">
        <v>109</v>
      </c>
      <c r="H49" s="29" t="n">
        <v>2509</v>
      </c>
      <c r="I49" s="28" t="s">
        <v>318</v>
      </c>
      <c r="J49" s="28" t="n">
        <v>651</v>
      </c>
      <c r="K49" s="30" t="s">
        <v>319</v>
      </c>
    </row>
    <row r="50" customFormat="false" ht="15" hidden="false" customHeight="false" outlineLevel="0" collapsed="false">
      <c r="A50" s="27" t="s">
        <v>341</v>
      </c>
      <c r="B50" s="28" t="s">
        <v>135</v>
      </c>
      <c r="C50" s="28" t="s">
        <v>134</v>
      </c>
      <c r="D50" s="28" t="s">
        <v>42</v>
      </c>
      <c r="E50" s="28" t="s">
        <v>43</v>
      </c>
      <c r="F50" s="28" t="n">
        <v>2024</v>
      </c>
      <c r="G50" s="28" t="s">
        <v>109</v>
      </c>
      <c r="H50" s="29" t="n">
        <v>2509</v>
      </c>
      <c r="I50" s="28" t="s">
        <v>318</v>
      </c>
      <c r="J50" s="28" t="n">
        <v>651</v>
      </c>
      <c r="K50" s="30" t="s">
        <v>319</v>
      </c>
    </row>
    <row r="51" customFormat="false" ht="15" hidden="false" customHeight="false" outlineLevel="0" collapsed="false">
      <c r="A51" s="27" t="s">
        <v>341</v>
      </c>
      <c r="B51" s="28" t="s">
        <v>124</v>
      </c>
      <c r="C51" s="28" t="s">
        <v>123</v>
      </c>
      <c r="D51" s="28" t="s">
        <v>50</v>
      </c>
      <c r="E51" s="28" t="s">
        <v>43</v>
      </c>
      <c r="F51" s="28" t="n">
        <v>2024</v>
      </c>
      <c r="G51" s="28" t="s">
        <v>109</v>
      </c>
      <c r="H51" s="29" t="n">
        <v>2542</v>
      </c>
      <c r="I51" s="28" t="s">
        <v>318</v>
      </c>
      <c r="J51" s="28" t="n">
        <v>651</v>
      </c>
      <c r="K51" s="28" t="s">
        <v>340</v>
      </c>
    </row>
    <row r="52" customFormat="false" ht="15" hidden="false" customHeight="false" outlineLevel="0" collapsed="false">
      <c r="A52" s="27" t="s">
        <v>341</v>
      </c>
      <c r="B52" s="28" t="s">
        <v>149</v>
      </c>
      <c r="C52" s="28" t="s">
        <v>80</v>
      </c>
      <c r="D52" s="28" t="s">
        <v>84</v>
      </c>
      <c r="E52" s="28" t="s">
        <v>43</v>
      </c>
      <c r="F52" s="28" t="n">
        <v>2025</v>
      </c>
      <c r="G52" s="28" t="s">
        <v>109</v>
      </c>
      <c r="H52" s="29" t="n">
        <v>2522</v>
      </c>
      <c r="I52" s="28" t="s">
        <v>318</v>
      </c>
      <c r="J52" s="28" t="n">
        <v>651</v>
      </c>
      <c r="K52" s="28" t="s">
        <v>339</v>
      </c>
    </row>
    <row r="53" customFormat="false" ht="15" hidden="false" customHeight="false" outlineLevel="0" collapsed="false">
      <c r="A53" s="27" t="s">
        <v>342</v>
      </c>
      <c r="B53" s="28" t="s">
        <v>142</v>
      </c>
      <c r="C53" s="28" t="s">
        <v>140</v>
      </c>
      <c r="D53" s="28" t="s">
        <v>70</v>
      </c>
      <c r="E53" s="28" t="s">
        <v>141</v>
      </c>
      <c r="F53" s="28" t="n">
        <v>2024</v>
      </c>
      <c r="G53" s="28" t="s">
        <v>109</v>
      </c>
      <c r="H53" s="29" t="n">
        <v>2092</v>
      </c>
      <c r="I53" s="28" t="s">
        <v>343</v>
      </c>
      <c r="J53" s="28" t="n">
        <v>45</v>
      </c>
      <c r="K53" s="30" t="s">
        <v>319</v>
      </c>
    </row>
    <row r="54" customFormat="false" ht="15" hidden="false" customHeight="false" outlineLevel="0" collapsed="false">
      <c r="A54" s="27" t="s">
        <v>342</v>
      </c>
      <c r="B54" s="28" t="s">
        <v>147</v>
      </c>
      <c r="C54" s="28" t="s">
        <v>140</v>
      </c>
      <c r="D54" s="28" t="s">
        <v>75</v>
      </c>
      <c r="E54" s="28" t="s">
        <v>141</v>
      </c>
      <c r="F54" s="28" t="n">
        <v>2024</v>
      </c>
      <c r="G54" s="28" t="s">
        <v>109</v>
      </c>
      <c r="H54" s="29" t="n">
        <v>2092</v>
      </c>
      <c r="I54" s="28" t="s">
        <v>343</v>
      </c>
      <c r="J54" s="28" t="n">
        <v>45</v>
      </c>
      <c r="K54" s="30" t="s">
        <v>319</v>
      </c>
    </row>
    <row r="55" customFormat="false" ht="15" hidden="false" customHeight="false" outlineLevel="0" collapsed="false">
      <c r="A55" s="27" t="s">
        <v>344</v>
      </c>
      <c r="B55" s="28" t="s">
        <v>117</v>
      </c>
      <c r="C55" s="28" t="s">
        <v>115</v>
      </c>
      <c r="D55" s="28" t="s">
        <v>116</v>
      </c>
      <c r="E55" s="28" t="s">
        <v>43</v>
      </c>
      <c r="F55" s="28" t="n">
        <v>2024</v>
      </c>
      <c r="G55" s="28" t="s">
        <v>109</v>
      </c>
      <c r="H55" s="29" t="n">
        <v>2409</v>
      </c>
      <c r="I55" s="28" t="s">
        <v>318</v>
      </c>
      <c r="J55" s="28" t="n">
        <v>78</v>
      </c>
      <c r="K55" s="28" t="s">
        <v>337</v>
      </c>
    </row>
    <row r="56" customFormat="false" ht="15" hidden="false" customHeight="false" outlineLevel="0" collapsed="false">
      <c r="A56" s="27" t="s">
        <v>344</v>
      </c>
      <c r="B56" s="28" t="s">
        <v>120</v>
      </c>
      <c r="C56" s="28" t="s">
        <v>115</v>
      </c>
      <c r="D56" s="28" t="s">
        <v>36</v>
      </c>
      <c r="E56" s="28" t="s">
        <v>43</v>
      </c>
      <c r="F56" s="28" t="n">
        <v>2024</v>
      </c>
      <c r="G56" s="28" t="s">
        <v>109</v>
      </c>
      <c r="H56" s="29" t="n">
        <v>2409</v>
      </c>
      <c r="I56" s="28" t="s">
        <v>318</v>
      </c>
      <c r="J56" s="28" t="n">
        <v>78</v>
      </c>
      <c r="K56" s="30" t="s">
        <v>319</v>
      </c>
    </row>
    <row r="57" customFormat="false" ht="15" hidden="false" customHeight="false" outlineLevel="0" collapsed="false">
      <c r="A57" s="27" t="s">
        <v>344</v>
      </c>
      <c r="B57" s="28" t="s">
        <v>135</v>
      </c>
      <c r="C57" s="28" t="s">
        <v>134</v>
      </c>
      <c r="D57" s="28" t="s">
        <v>42</v>
      </c>
      <c r="E57" s="28" t="s">
        <v>43</v>
      </c>
      <c r="F57" s="28" t="n">
        <v>2024</v>
      </c>
      <c r="G57" s="28" t="s">
        <v>109</v>
      </c>
      <c r="H57" s="29" t="n">
        <v>2611</v>
      </c>
      <c r="I57" s="28" t="s">
        <v>318</v>
      </c>
      <c r="J57" s="28" t="n">
        <v>78</v>
      </c>
      <c r="K57" s="28" t="s">
        <v>338</v>
      </c>
    </row>
    <row r="58" customFormat="false" ht="15" hidden="false" customHeight="false" outlineLevel="0" collapsed="false">
      <c r="A58" s="27" t="s">
        <v>344</v>
      </c>
      <c r="B58" s="28" t="s">
        <v>124</v>
      </c>
      <c r="C58" s="28" t="s">
        <v>123</v>
      </c>
      <c r="D58" s="28" t="s">
        <v>50</v>
      </c>
      <c r="E58" s="28" t="s">
        <v>43</v>
      </c>
      <c r="F58" s="28" t="n">
        <v>2024</v>
      </c>
      <c r="G58" s="28" t="s">
        <v>109</v>
      </c>
      <c r="H58" s="29" t="n">
        <v>2421</v>
      </c>
      <c r="I58" s="28" t="s">
        <v>318</v>
      </c>
      <c r="J58" s="28" t="n">
        <v>78</v>
      </c>
      <c r="K58" s="30" t="s">
        <v>319</v>
      </c>
    </row>
    <row r="59" customFormat="false" ht="15" hidden="false" customHeight="false" outlineLevel="0" collapsed="false">
      <c r="A59" s="27" t="s">
        <v>344</v>
      </c>
      <c r="B59" s="28" t="s">
        <v>148</v>
      </c>
      <c r="C59" s="28" t="s">
        <v>80</v>
      </c>
      <c r="D59" s="28" t="s">
        <v>81</v>
      </c>
      <c r="E59" s="28" t="s">
        <v>43</v>
      </c>
      <c r="F59" s="28" t="n">
        <v>2025</v>
      </c>
      <c r="G59" s="28" t="s">
        <v>109</v>
      </c>
      <c r="H59" s="29" t="n">
        <v>2631</v>
      </c>
      <c r="I59" s="28" t="s">
        <v>318</v>
      </c>
      <c r="J59" s="28" t="n">
        <v>78</v>
      </c>
      <c r="K59" s="30" t="s">
        <v>319</v>
      </c>
    </row>
    <row r="60" customFormat="false" ht="15" hidden="false" customHeight="false" outlineLevel="0" collapsed="false">
      <c r="A60" s="27" t="s">
        <v>344</v>
      </c>
      <c r="B60" s="28" t="s">
        <v>149</v>
      </c>
      <c r="C60" s="28" t="s">
        <v>80</v>
      </c>
      <c r="D60" s="28" t="s">
        <v>84</v>
      </c>
      <c r="E60" s="28" t="s">
        <v>43</v>
      </c>
      <c r="F60" s="28" t="n">
        <v>2025</v>
      </c>
      <c r="G60" s="28" t="s">
        <v>109</v>
      </c>
      <c r="H60" s="29" t="n">
        <v>2401</v>
      </c>
      <c r="I60" s="28" t="s">
        <v>318</v>
      </c>
      <c r="J60" s="28" t="n">
        <v>78</v>
      </c>
      <c r="K60" s="30" t="s">
        <v>319</v>
      </c>
    </row>
    <row r="61" customFormat="false" ht="15" hidden="false" customHeight="false" outlineLevel="0" collapsed="false">
      <c r="A61" s="27" t="s">
        <v>344</v>
      </c>
      <c r="B61" s="28" t="s">
        <v>132</v>
      </c>
      <c r="C61" s="28" t="s">
        <v>123</v>
      </c>
      <c r="D61" s="28" t="s">
        <v>131</v>
      </c>
      <c r="E61" s="28" t="s">
        <v>43</v>
      </c>
      <c r="F61" s="28" t="n">
        <v>2024</v>
      </c>
      <c r="G61" s="28" t="s">
        <v>109</v>
      </c>
      <c r="H61" s="29" t="n">
        <v>2439</v>
      </c>
      <c r="I61" s="28" t="s">
        <v>318</v>
      </c>
      <c r="J61" s="28" t="n">
        <v>78</v>
      </c>
      <c r="K61" s="30" t="s">
        <v>319</v>
      </c>
    </row>
  </sheetData>
  <autoFilter ref="A4:K61"/>
  <hyperlinks>
    <hyperlink ref="A5" r:id="rId1" display="1005010208916818"/>
    <hyperlink ref="A6" r:id="rId2" display="1005010208916818"/>
    <hyperlink ref="A7" r:id="rId3" display="1005010208916818"/>
    <hyperlink ref="A8" r:id="rId4" display="1005010208916818"/>
    <hyperlink ref="A9" r:id="rId5" display="1005010208916818"/>
    <hyperlink ref="A10" r:id="rId6" display="1005010208916818"/>
    <hyperlink ref="A11" r:id="rId7" display="1005010208916818"/>
    <hyperlink ref="A12" r:id="rId8" display="1005010208916818"/>
    <hyperlink ref="A13" r:id="rId9" display="1005010208916818"/>
    <hyperlink ref="A14" r:id="rId10" display="1005010208916818"/>
    <hyperlink ref="A15" r:id="rId11" display="1005010208916818"/>
    <hyperlink ref="A16" r:id="rId12" display="1005010208755468"/>
    <hyperlink ref="A17" r:id="rId13" display="1005010208755468"/>
    <hyperlink ref="A18" r:id="rId14" display="1005010208755468"/>
    <hyperlink ref="A19" r:id="rId15" display="1005010208755468"/>
    <hyperlink ref="A20" r:id="rId16" display="1005010208755468"/>
    <hyperlink ref="A21" r:id="rId17" display="1005010208755468"/>
    <hyperlink ref="A22" r:id="rId18" display="1005010208755468"/>
    <hyperlink ref="A23" r:id="rId19" display="1005010208755468"/>
    <hyperlink ref="A24" r:id="rId20" display="1005010208755468"/>
    <hyperlink ref="A25" r:id="rId21" display="1005010208755468"/>
    <hyperlink ref="A26" r:id="rId22" display="1005010208755468"/>
    <hyperlink ref="A27" r:id="rId23" display="1005010208755468"/>
    <hyperlink ref="A28" r:id="rId24" display="1005010208755468"/>
    <hyperlink ref="A29" r:id="rId25" display="1005010208755468"/>
    <hyperlink ref="A30" r:id="rId26" display="1005010208755468"/>
    <hyperlink ref="A31" r:id="rId27" display="1005010208755468"/>
    <hyperlink ref="A32" r:id="rId28" display="1005010208755468"/>
    <hyperlink ref="A33" r:id="rId29" display="1005010208755468"/>
    <hyperlink ref="A34" r:id="rId30" display="1005010208755468"/>
    <hyperlink ref="A35" r:id="rId31" display="1005013123378832"/>
    <hyperlink ref="A36" r:id="rId32" display="1005013123378832"/>
    <hyperlink ref="A37" r:id="rId33" display="1005013034982313"/>
    <hyperlink ref="A38" r:id="rId34" display="1005013034982313"/>
    <hyperlink ref="A39" r:id="rId35" display="1005009397158416"/>
    <hyperlink ref="A40" r:id="rId36" display="1005009397158416"/>
    <hyperlink ref="A41" r:id="rId37" display="1005009397158416"/>
    <hyperlink ref="A42" r:id="rId38" display="1005009397158416"/>
    <hyperlink ref="A43" r:id="rId39" display="1005009397158416"/>
    <hyperlink ref="A44" r:id="rId40" display="1005009397158416"/>
    <hyperlink ref="A45" r:id="rId41" display="1005009397158416"/>
    <hyperlink ref="A46" r:id="rId42" display="1005009081001375"/>
    <hyperlink ref="A47" r:id="rId43" display="1005009081001375"/>
    <hyperlink ref="A48" r:id="rId44" display="1005009081001375"/>
    <hyperlink ref="A49" r:id="rId45" display="1005009081001375"/>
    <hyperlink ref="A50" r:id="rId46" display="1005009081001375"/>
    <hyperlink ref="A51" r:id="rId47" display="1005009081001375"/>
    <hyperlink ref="A52" r:id="rId48" display="1005009081001375"/>
    <hyperlink ref="A53" r:id="rId49" display="1005009085028182"/>
    <hyperlink ref="A54" r:id="rId50" display="1005009085028182"/>
    <hyperlink ref="A55" r:id="rId51" display="1005010633502926"/>
    <hyperlink ref="A56" r:id="rId52" display="1005010633502926"/>
    <hyperlink ref="A57" r:id="rId53" display="1005010633502926"/>
    <hyperlink ref="A58" r:id="rId54" display="1005010633502926"/>
    <hyperlink ref="A59" r:id="rId55" display="1005010633502926"/>
    <hyperlink ref="A60" r:id="rId56" display="1005010633502926"/>
    <hyperlink ref="A61" r:id="rId57" display="100501063350292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8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345</v>
      </c>
    </row>
    <row r="3" customFormat="false" ht="23.85" hidden="false" customHeight="false" outlineLevel="0" collapsed="false">
      <c r="A3" s="31" t="s">
        <v>346</v>
      </c>
      <c r="B3" s="32" t="s">
        <v>347</v>
      </c>
    </row>
    <row r="4" customFormat="false" ht="15" hidden="false" customHeight="false" outlineLevel="0" collapsed="false">
      <c r="A4" s="31" t="s">
        <v>348</v>
      </c>
      <c r="B4" s="32" t="s">
        <v>349</v>
      </c>
    </row>
    <row r="5" customFormat="false" ht="23.85" hidden="false" customHeight="false" outlineLevel="0" collapsed="false">
      <c r="A5" s="31" t="s">
        <v>350</v>
      </c>
      <c r="B5" s="32" t="s">
        <v>351</v>
      </c>
    </row>
    <row r="6" customFormat="false" ht="15" hidden="false" customHeight="false" outlineLevel="0" collapsed="false">
      <c r="A6" s="31" t="s">
        <v>352</v>
      </c>
      <c r="B6" s="32" t="s">
        <v>353</v>
      </c>
    </row>
    <row r="7" customFormat="false" ht="15" hidden="false" customHeight="false" outlineLevel="0" collapsed="false">
      <c r="A7" s="31" t="s">
        <v>354</v>
      </c>
      <c r="B7" s="32" t="s">
        <v>355</v>
      </c>
    </row>
    <row r="8" customFormat="false" ht="15" hidden="false" customHeight="false" outlineLevel="0" collapsed="false">
      <c r="A8" s="31" t="s">
        <v>356</v>
      </c>
      <c r="B8" s="32" t="s">
        <v>357</v>
      </c>
    </row>
    <row r="9" customFormat="false" ht="15" hidden="false" customHeight="false" outlineLevel="0" collapsed="false">
      <c r="A9" s="31" t="s">
        <v>358</v>
      </c>
      <c r="B9" s="32" t="s">
        <v>359</v>
      </c>
    </row>
    <row r="10" customFormat="false" ht="15" hidden="false" customHeight="false" outlineLevel="0" collapsed="false">
      <c r="A10" s="31" t="s">
        <v>360</v>
      </c>
      <c r="B10" s="32" t="s">
        <v>361</v>
      </c>
    </row>
    <row r="11" customFormat="false" ht="15" hidden="false" customHeight="false" outlineLevel="0" collapsed="false">
      <c r="A11" s="31" t="s">
        <v>362</v>
      </c>
      <c r="B11" s="32" t="s">
        <v>363</v>
      </c>
    </row>
    <row r="12" customFormat="false" ht="15" hidden="false" customHeight="false" outlineLevel="0" collapsed="false">
      <c r="A12" s="31" t="s">
        <v>364</v>
      </c>
      <c r="B12" s="32" t="s">
        <v>365</v>
      </c>
    </row>
    <row r="13" customFormat="false" ht="23.85" hidden="false" customHeight="false" outlineLevel="0" collapsed="false">
      <c r="A13" s="31" t="s">
        <v>180</v>
      </c>
      <c r="B13" s="32" t="s">
        <v>366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2026-09-25T09:22:23Z</dcterms:created>
  <dc:creator>openpyxl</dc:creator>
  <dc:description/>
  <dc:language>en-US</dc:language>
  <cp:lastModifiedBy/>
  <dcterms:modified xsi:type="dcterms:W3CDTF">2026-09-25T09:22:23Z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