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ссортимент" sheetId="1" state="visible" r:id="rId3"/>
    <sheet name="Мерч и кепки" sheetId="2" state="visible" r:id="rId4"/>
    <sheet name="Мерч — все лоты" sheetId="3" state="visible" r:id="rId5"/>
    <sheet name="Постеры — размеры" sheetId="4" state="visible" r:id="rId6"/>
    <sheet name="Варианты AliExpress" sheetId="5" state="visible" r:id="rId7"/>
    <sheet name="Что уточнить" sheetId="6" state="visible" r:id="rId8"/>
    <sheet name="Параметры" sheetId="7" state="visible" r:id="rId9"/>
  </sheets>
  <definedNames>
    <definedName function="false" hidden="true" localSheetId="0" name="_xlnm._FilterDatabase" vbProcedure="false">Ассортимент!$A$4:$R$66</definedName>
    <definedName function="false" hidden="true" localSheetId="4" name="_xlnm._FilterDatabase" vbProcedure="false">'Варианты AliExpress'!$A$4:$K$61</definedName>
    <definedName function="false" hidden="true" localSheetId="2" name="_xlnm._FilterDatabase" vbProcedure="false">'Мерч — все лоты'!$A$4:$J$743</definedName>
    <definedName function="false" hidden="true" localSheetId="1" name="_xlnm._FilterDatabase" vbProcedure="false">'Мерч и кепки'!$A$4:$L$29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7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38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39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0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1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2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3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4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  <comment ref="D45" authorId="0">
      <text>
        <r>
          <rPr>
            <sz val="10"/>
            <rFont val="Arial"/>
            <family val="2"/>
          </rPr>
          <t xml:space="preserve">Обычная цена из выдачи aliexpress.com (без скидки для новых покупателей), пересчитана из $ по курсу 84,2 ₽/$.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$9.41 × курс</t>
        </r>
      </text>
    </comment>
    <comment ref="F6" authorId="0">
      <text>
        <r>
          <rPr>
            <sz val="10"/>
            <rFont val="Arial"/>
            <family val="2"/>
          </rPr>
          <t xml:space="preserve">$44.0 × курс; верхняя оценка — зачёркнутая цена</t>
        </r>
      </text>
    </comment>
    <comment ref="F7" authorId="0">
      <text>
        <r>
          <rPr>
            <sz val="10"/>
            <rFont val="Arial"/>
            <family val="2"/>
          </rPr>
          <t xml:space="preserve">$22.67 × курс; верхняя оценка — зачёркнутая цена</t>
        </r>
      </text>
    </comment>
    <comment ref="F8" authorId="0">
      <text>
        <r>
          <rPr>
            <sz val="10"/>
            <rFont val="Arial"/>
            <family val="2"/>
          </rPr>
          <t xml:space="preserve">$9.18 × курс</t>
        </r>
      </text>
    </comment>
    <comment ref="F9" authorId="0">
      <text>
        <r>
          <rPr>
            <sz val="10"/>
            <rFont val="Arial"/>
            <family val="2"/>
          </rPr>
          <t xml:space="preserve">$15.94 × курс</t>
        </r>
      </text>
    </comment>
    <comment ref="F10" authorId="0">
      <text>
        <r>
          <rPr>
            <sz val="10"/>
            <rFont val="Arial"/>
            <family val="2"/>
          </rPr>
          <t xml:space="preserve">$7.96 × курс; верхняя оценка — зачёркнутая цена</t>
        </r>
      </text>
    </comment>
    <comment ref="F11" authorId="0">
      <text>
        <r>
          <rPr>
            <sz val="10"/>
            <rFont val="Arial"/>
            <family val="2"/>
          </rPr>
          <t xml:space="preserve">$16.34 × курс; верхняя оценка — зачёркнутая цена</t>
        </r>
      </text>
    </comment>
    <comment ref="F12" authorId="0">
      <text>
        <r>
          <rPr>
            <sz val="10"/>
            <rFont val="Arial"/>
            <family val="2"/>
          </rPr>
          <t xml:space="preserve">$22.94 × курс; верхняя оценка — зачёркнутая цена</t>
        </r>
      </text>
    </comment>
    <comment ref="F13" authorId="0">
      <text>
        <r>
          <rPr>
            <sz val="10"/>
            <rFont val="Arial"/>
            <family val="2"/>
          </rPr>
          <t xml:space="preserve">$19.73 × курс; верхняя оценка — зачёркнутая цена</t>
        </r>
      </text>
    </comment>
    <comment ref="F14" authorId="0">
      <text>
        <r>
          <rPr>
            <sz val="10"/>
            <rFont val="Arial"/>
            <family val="2"/>
          </rPr>
          <t xml:space="preserve">$31.54 × курс</t>
        </r>
      </text>
    </comment>
    <comment ref="F15" authorId="0">
      <text>
        <r>
          <rPr>
            <sz val="10"/>
            <rFont val="Arial"/>
            <family val="2"/>
          </rPr>
          <t xml:space="preserve">$11.71 × курс; верхняя оценка — зачёркнутая цена</t>
        </r>
      </text>
    </comment>
    <comment ref="F16" authorId="0">
      <text>
        <r>
          <rPr>
            <sz val="10"/>
            <rFont val="Arial"/>
            <family val="2"/>
          </rPr>
          <t xml:space="preserve">$8.62 × курс</t>
        </r>
      </text>
    </comment>
    <comment ref="F17" authorId="0">
      <text>
        <r>
          <rPr>
            <sz val="10"/>
            <rFont val="Arial"/>
            <family val="2"/>
          </rPr>
          <t xml:space="preserve">$8.77 × курс; верхняя оценка — зачёркнутая цена</t>
        </r>
      </text>
    </comment>
    <comment ref="F18" authorId="0">
      <text>
        <r>
          <rPr>
            <sz val="10"/>
            <rFont val="Arial"/>
            <family val="2"/>
          </rPr>
          <t xml:space="preserve">$13.29 × курс; верхняя оценка — зачёркнутая цена</t>
        </r>
      </text>
    </comment>
    <comment ref="F19" authorId="0">
      <text>
        <r>
          <rPr>
            <sz val="10"/>
            <rFont val="Arial"/>
            <family val="2"/>
          </rPr>
          <t xml:space="preserve">$8.43 × курс; верхняя оценка — зачёркнутая цена</t>
        </r>
      </text>
    </comment>
    <comment ref="F20" authorId="0">
      <text>
        <r>
          <rPr>
            <sz val="10"/>
            <rFont val="Arial"/>
            <family val="2"/>
          </rPr>
          <t xml:space="preserve">$9.29 × курс</t>
        </r>
      </text>
    </comment>
    <comment ref="F21" authorId="0">
      <text>
        <r>
          <rPr>
            <sz val="10"/>
            <rFont val="Arial"/>
            <family val="2"/>
          </rPr>
          <t xml:space="preserve">$20.82 × курс</t>
        </r>
      </text>
    </comment>
    <comment ref="F22" authorId="0">
      <text>
        <r>
          <rPr>
            <sz val="10"/>
            <rFont val="Arial"/>
            <family val="2"/>
          </rPr>
          <t xml:space="preserve">$15.81 × курс; верхняя оценка — зачёркнутая цена</t>
        </r>
      </text>
    </comment>
    <comment ref="F23" authorId="0">
      <text>
        <r>
          <rPr>
            <sz val="10"/>
            <rFont val="Arial"/>
            <family val="2"/>
          </rPr>
          <t xml:space="preserve">$24.07 × курс; верхняя оценка — зачёркнутая цена</t>
        </r>
      </text>
    </comment>
    <comment ref="F24" authorId="0">
      <text>
        <r>
          <rPr>
            <sz val="10"/>
            <rFont val="Arial"/>
            <family val="2"/>
          </rPr>
          <t xml:space="preserve">$24.07 × курс; верхняя оценка — зачёркнутая цена</t>
        </r>
      </text>
    </comment>
    <comment ref="F25" authorId="0">
      <text>
        <r>
          <rPr>
            <sz val="10"/>
            <rFont val="Arial"/>
            <family val="2"/>
          </rPr>
          <t xml:space="preserve">$22.89 × курс; верхняя оценка — зачёркнутая цена</t>
        </r>
      </text>
    </comment>
    <comment ref="F26" authorId="0">
      <text>
        <r>
          <rPr>
            <sz val="10"/>
            <rFont val="Arial"/>
            <family val="2"/>
          </rPr>
          <t xml:space="preserve">$21.61 × курс; верхняя оценка — зачёркнутая цена</t>
        </r>
      </text>
    </comment>
    <comment ref="F27" authorId="0">
      <text>
        <r>
          <rPr>
            <sz val="10"/>
            <rFont val="Arial"/>
            <family val="2"/>
          </rPr>
          <t xml:space="preserve">$6.98 × курс; верхняя оценка — зачёркнутая цена</t>
        </r>
      </text>
    </comment>
    <comment ref="F28" authorId="0">
      <text>
        <r>
          <rPr>
            <sz val="10"/>
            <rFont val="Arial"/>
            <family val="2"/>
          </rPr>
          <t xml:space="preserve">$12.86 × курс</t>
        </r>
      </text>
    </comment>
    <comment ref="F29" authorId="0">
      <text>
        <r>
          <rPr>
            <sz val="10"/>
            <rFont val="Arial"/>
            <family val="2"/>
          </rPr>
          <t xml:space="preserve">$3.58 × курс</t>
        </r>
      </text>
    </comment>
  </commentList>
</comments>
</file>

<file path=xl/sharedStrings.xml><?xml version="1.0" encoding="utf-8"?>
<sst xmlns="http://schemas.openxmlformats.org/spreadsheetml/2006/main" count="5778" uniqueCount="1172">
  <si>
    <t xml:space="preserve">TMFF — стартовый ассортимент</t>
  </si>
  <si>
    <t xml:space="preserve">Синим — данные AliExpress (варианты лотов собраны в Chrome 25.09.2026, конструкторы — из поиска aliexpress.com), чёрным — формулы, жёлтым — проверить. Цена — за товар, без платной доставки, если она есть. У конструкторов с aliexpress.com жёлтая цена — верхняя оценка: реальная может быть до двух раз ниже.</t>
  </si>
  <si>
    <t xml:space="preserve">Повторы убраны: болид + пилот + ливрея + масштаб встречаются один раз, по самой низкой цене. Другие лоты с тем же вариантом — в «Запасной лот». «Вариант на Ali» — что выбрать при заказе.</t>
  </si>
  <si>
    <t xml:space="preserve">Раздел</t>
  </si>
  <si>
    <t xml:space="preserve">Название на сайте</t>
  </si>
  <si>
    <t xml:space="preserve">Масштаб</t>
  </si>
  <si>
    <t xml:space="preserve">Цена на Ali, ₽</t>
  </si>
  <si>
    <t xml:space="preserve">Наша цена, ₽</t>
  </si>
  <si>
    <t xml:space="preserve">Прибыль с шт., ₽</t>
  </si>
  <si>
    <t xml:space="preserve">Болид</t>
  </si>
  <si>
    <t xml:space="preserve">Пилот</t>
  </si>
  <si>
    <t xml:space="preserve">Ливрея / версия</t>
  </si>
  <si>
    <t xml:space="preserve">Год</t>
  </si>
  <si>
    <t xml:space="preserve">Заказов лота</t>
  </si>
  <si>
    <t xml:space="preserve">Рейтинг</t>
  </si>
  <si>
    <t xml:space="preserve">Лот</t>
  </si>
  <si>
    <t xml:space="preserve">Вариант на Ali</t>
  </si>
  <si>
    <t xml:space="preserve">Запасной лот · цена</t>
  </si>
  <si>
    <t xml:space="preserve">Повтор?</t>
  </si>
  <si>
    <t xml:space="preserve">Лимит 1:24</t>
  </si>
  <si>
    <t xml:space="preserve">Заметки и что проверить</t>
  </si>
  <si>
    <t xml:space="preserve">Модели 1:43 — сезон 2025</t>
  </si>
  <si>
    <t xml:space="preserve">Red Bull RB21 — Цунода #22</t>
  </si>
  <si>
    <t xml:space="preserve">1:43</t>
  </si>
  <si>
    <t xml:space="preserve">Red Bull RB21</t>
  </si>
  <si>
    <t xml:space="preserve">Цунода #22</t>
  </si>
  <si>
    <t xml:space="preserve">стандартная</t>
  </si>
  <si>
    <t xml:space="preserve">открыть</t>
  </si>
  <si>
    <t xml:space="preserve">22-TSU-Bahrain</t>
  </si>
  <si>
    <t xml:space="preserve">755468 · 879 ₽</t>
  </si>
  <si>
    <t xml:space="preserve">Red Bull RB21 — Цунода #22, белая, ГП Японии</t>
  </si>
  <si>
    <t xml:space="preserve">белая, ГП Японии</t>
  </si>
  <si>
    <t xml:space="preserve">22-TSU-Japan</t>
  </si>
  <si>
    <t xml:space="preserve">Белая ливрея в честь Honda (Сузука 2025). Обязательно в ассортименте.</t>
  </si>
  <si>
    <t xml:space="preserve">Red Bull RB21 — Ферстаппен #1</t>
  </si>
  <si>
    <t xml:space="preserve">Ферстаппен #1</t>
  </si>
  <si>
    <t xml:space="preserve">2025 RB21-1BHR</t>
  </si>
  <si>
    <t xml:space="preserve">Red Bull RB21 — Ферстаппен #1, белая, ГП Японии</t>
  </si>
  <si>
    <t xml:space="preserve">1-VER-Japan</t>
  </si>
  <si>
    <t xml:space="preserve">Ferrari SF-25 — Хэмилтон #44</t>
  </si>
  <si>
    <t xml:space="preserve">Ferrari SF-25</t>
  </si>
  <si>
    <t xml:space="preserve">Хэмилтон #44</t>
  </si>
  <si>
    <t xml:space="preserve">2025 SF25-44</t>
  </si>
  <si>
    <t xml:space="preserve">Ferrari SF-25 — Хэмилтон #44, ГП Майами</t>
  </si>
  <si>
    <t xml:space="preserve">ГП Майами</t>
  </si>
  <si>
    <t xml:space="preserve">44-HAM-Miami</t>
  </si>
  <si>
    <t xml:space="preserve">Спецливрея Ferrari на Гран-при Майами.</t>
  </si>
  <si>
    <t xml:space="preserve">Ferrari SF-25 — Леклер #16</t>
  </si>
  <si>
    <t xml:space="preserve">Леклер #16</t>
  </si>
  <si>
    <t xml:space="preserve">16-LEC</t>
  </si>
  <si>
    <t xml:space="preserve">Ferrari SF-25 — Леклер #16, ГП Майами</t>
  </si>
  <si>
    <t xml:space="preserve">16-LEC-Miami</t>
  </si>
  <si>
    <t xml:space="preserve">Mercedes W16 — Антонелли #12</t>
  </si>
  <si>
    <t xml:space="preserve">Mercedes W16</t>
  </si>
  <si>
    <t xml:space="preserve">Антонелли #12</t>
  </si>
  <si>
    <t xml:space="preserve">2025 W16 E-12</t>
  </si>
  <si>
    <t xml:space="preserve">Mercedes W16 — Рассел #63</t>
  </si>
  <si>
    <t xml:space="preserve">Рассел #63</t>
  </si>
  <si>
    <t xml:space="preserve">2025 W16 E-63</t>
  </si>
  <si>
    <t xml:space="preserve">McLaren MCL39 — Норрис #4</t>
  </si>
  <si>
    <t xml:space="preserve">McLaren MCL39</t>
  </si>
  <si>
    <t xml:space="preserve">Норрис #4</t>
  </si>
  <si>
    <t xml:space="preserve">2025 MCL39-4</t>
  </si>
  <si>
    <t xml:space="preserve">McLaren MCL39 — Пиастри #81</t>
  </si>
  <si>
    <t xml:space="preserve">Пиастри #81</t>
  </si>
  <si>
    <t xml:space="preserve">2025 MCL39-81</t>
  </si>
  <si>
    <t xml:space="preserve">Aston Martin AMR25 — Алонсо #14</t>
  </si>
  <si>
    <t xml:space="preserve">Aston Martin AMR25</t>
  </si>
  <si>
    <t xml:space="preserve">Алонсо #14</t>
  </si>
  <si>
    <t xml:space="preserve">2025 AMR25-14</t>
  </si>
  <si>
    <t xml:space="preserve">Aston Martin AMR25 — Стролл #18</t>
  </si>
  <si>
    <t xml:space="preserve">Стролл #18</t>
  </si>
  <si>
    <t xml:space="preserve">2025 AMR25-18</t>
  </si>
  <si>
    <t xml:space="preserve">Alpine A525 — Колапинто #43, ГП Монако</t>
  </si>
  <si>
    <t xml:space="preserve">Alpine A525</t>
  </si>
  <si>
    <t xml:space="preserve">Колапинто #43</t>
  </si>
  <si>
    <t xml:space="preserve">ГП Монако</t>
  </si>
  <si>
    <t xml:space="preserve">2025 A525-43MC</t>
  </si>
  <si>
    <t xml:space="preserve">Другой версии Alpine в лотах нет.</t>
  </si>
  <si>
    <t xml:space="preserve">Alpine A525 — Гасли #10, ГП Монако</t>
  </si>
  <si>
    <t xml:space="preserve">Гасли #10</t>
  </si>
  <si>
    <t xml:space="preserve">2025 A525-10MC</t>
  </si>
  <si>
    <t xml:space="preserve">Модели 1:43 — новинки 2026</t>
  </si>
  <si>
    <t xml:space="preserve">Ferrari SF-26 — Хэмилтон #44 · масштаб 1:43</t>
  </si>
  <si>
    <t xml:space="preserve">Ferrari SF-26</t>
  </si>
  <si>
    <t xml:space="preserve">2026 SF26-44</t>
  </si>
  <si>
    <t xml:space="preserve">Новинка 2026, оценок ещё нет. На сайте масштаб 1:43 — в названии: модель дороже сезона 2025.</t>
  </si>
  <si>
    <t xml:space="preserve">Ferrari SF-26 — Леклер #16 · масштаб 1:43</t>
  </si>
  <si>
    <t xml:space="preserve">2026 SF26-16</t>
  </si>
  <si>
    <t xml:space="preserve">Mercedes W17 — Антонелли #12 · масштаб 1:43</t>
  </si>
  <si>
    <t xml:space="preserve">Mercedes W17</t>
  </si>
  <si>
    <t xml:space="preserve">2026 W17-12</t>
  </si>
  <si>
    <t xml:space="preserve">Mercedes W17 — Рассел #63 · масштаб 1:43</t>
  </si>
  <si>
    <t xml:space="preserve">2026 W17-63</t>
  </si>
  <si>
    <t xml:space="preserve">Модели 1:24</t>
  </si>
  <si>
    <t xml:space="preserve">Red Bull RB19 — Ферстаппен #1, ГП США</t>
  </si>
  <si>
    <t xml:space="preserve">1:24</t>
  </si>
  <si>
    <t xml:space="preserve">Red Bull RB19</t>
  </si>
  <si>
    <t xml:space="preserve">ГП США</t>
  </si>
  <si>
    <t xml:space="preserve">1-24 2023 RB19-1USA</t>
  </si>
  <si>
    <t xml:space="preserve">Спецливрея RB19, придуманная фанатами (Остин 2023).</t>
  </si>
  <si>
    <t xml:space="preserve">Red Bull RB20 — Перес #11</t>
  </si>
  <si>
    <t xml:space="preserve">Red Bull RB20</t>
  </si>
  <si>
    <t xml:space="preserve">Перес #11</t>
  </si>
  <si>
    <t xml:space="preserve">1-24 2024 RB20-11</t>
  </si>
  <si>
    <t xml:space="preserve">502926 · 2409 ₽; 158416 · 2439 ₽</t>
  </si>
  <si>
    <t xml:space="preserve">Red Bull RB20 — Ферстаппен #1</t>
  </si>
  <si>
    <t xml:space="preserve">1-24 2024 RB20-1</t>
  </si>
  <si>
    <t xml:space="preserve">001375 · 2522 ₽; 158416 · 2659 ₽</t>
  </si>
  <si>
    <t xml:space="preserve">Ferrari SF-24 — Леклер #16</t>
  </si>
  <si>
    <t xml:space="preserve">Ferrari SF-24</t>
  </si>
  <si>
    <t xml:space="preserve">1-24 2024 SF24-16</t>
  </si>
  <si>
    <t xml:space="preserve">158416 · 2461 ₽; 001375 · 2542 ₽</t>
  </si>
  <si>
    <t xml:space="preserve">Ferrari SF-24 — Леклер #16, с надписью Leclerc</t>
  </si>
  <si>
    <t xml:space="preserve">с надписью Leclerc</t>
  </si>
  <si>
    <t xml:space="preserve">1-24 2024 SF24-161</t>
  </si>
  <si>
    <t xml:space="preserve">Вариант «SF24-161» — версия с надписью Leclerc. Обычный SF-24 Леклера — отдельной строкой.</t>
  </si>
  <si>
    <t xml:space="preserve">Ferrari SF-24 — Сайнс #55</t>
  </si>
  <si>
    <t xml:space="preserve">Сайнс #55</t>
  </si>
  <si>
    <t xml:space="preserve">1-24 2024 SF24-55</t>
  </si>
  <si>
    <t xml:space="preserve">Mercedes W15 — Хэмилтон #44</t>
  </si>
  <si>
    <t xml:space="preserve">Mercedes W15</t>
  </si>
  <si>
    <t xml:space="preserve">1-24 2024 W15-44</t>
  </si>
  <si>
    <t xml:space="preserve">502926 · 2611 ₽; 158416 · 2649 ₽</t>
  </si>
  <si>
    <t xml:space="preserve">Mercedes W15 — Рассел #63</t>
  </si>
  <si>
    <t xml:space="preserve">1-24 2024 W15-63</t>
  </si>
  <si>
    <t xml:space="preserve">McLaren MCL38 — Норрис #4</t>
  </si>
  <si>
    <t xml:space="preserve">McLaren MCL38</t>
  </si>
  <si>
    <t xml:space="preserve">Норрис #4 — выбрать в лоте</t>
  </si>
  <si>
    <t xml:space="preserve">009441469506 · 2 699 ₽</t>
  </si>
  <si>
    <t xml:space="preserve">Лот найден поиском aliexpress.ru, в CSV из Chrome его нет: проверить по фото, что ливрея обычная, а не «Майами», и цену варианта. Запасной: 1005009441469506 · 2 699 ₽, 503 заказа, 4.9.</t>
  </si>
  <si>
    <t xml:space="preserve">McLaren MCL38 — Пиастри #81</t>
  </si>
  <si>
    <t xml:space="preserve">1-24 2024 MCL38-81</t>
  </si>
  <si>
    <t xml:space="preserve">1-24 2025 AMR25-14</t>
  </si>
  <si>
    <t xml:space="preserve">1-24 2025 AMR25-18</t>
  </si>
  <si>
    <t xml:space="preserve">158416 · 2430 ₽; 001375 · 2522 ₽</t>
  </si>
  <si>
    <t xml:space="preserve">Конструкторы — лицензия CaDA</t>
  </si>
  <si>
    <t xml:space="preserve">CaDA BWT Alpine A525</t>
  </si>
  <si>
    <t xml:space="preserve">—</t>
  </si>
  <si>
    <t xml:space="preserve">CaDA</t>
  </si>
  <si>
    <t xml:space="preserve">проверить</t>
  </si>
  <si>
    <t xml:space="preserve">Официальная лицензия Alpine. Цена — верхняя оценка (зачёркнутая цена), реальная может быть до двух раз ниже. Вариант «с коробкой» и его цену не проверяли: в CSV из Chrome этого лота нет.</t>
  </si>
  <si>
    <t xml:space="preserve">CaDA Kick Sauber C44</t>
  </si>
  <si>
    <t xml:space="preserve">Kick Sauber C44</t>
  </si>
  <si>
    <t xml:space="preserve">Официальная лицензия Sauber. Цена — верхняя оценка (зачёркнутая цена), реальная может быть до двух раз ниже. Вариант «с коробкой» и его цену не проверяли: в CSV из Chrome этого лота нет.</t>
  </si>
  <si>
    <t xml:space="preserve">Конструкторы — реплика</t>
  </si>
  <si>
    <t xml:space="preserve">Red Bull RB21 — реплика 1:8</t>
  </si>
  <si>
    <t xml:space="preserve">1:8</t>
  </si>
  <si>
    <t xml:space="preserve">реплика</t>
  </si>
  <si>
    <t xml:space="preserve">310056041 · 4699 ₽</t>
  </si>
  <si>
    <t xml:space="preserve">Цена — верхняя оценка (зачёркнутая): в выдаче была только цена для новичков, реальная может быть до двух раз ниже. Вариант «с коробкой» и его цену не проверяли: в CSV из Chrome этого лота нет.</t>
  </si>
  <si>
    <t xml:space="preserve">Ferrari SF-25 — реплика 1:8</t>
  </si>
  <si>
    <t xml:space="preserve">682211506 · 5967 ₽</t>
  </si>
  <si>
    <t xml:space="preserve">Вариант «с коробкой» и его цену не проверяли: в CSV из Chrome этого лота нет.</t>
  </si>
  <si>
    <t xml:space="preserve">McLaren MCL39 — реплика 1:8</t>
  </si>
  <si>
    <t xml:space="preserve">Многовариантный лот: цена в выдаче — самого дешёвого варианта, MCL39 может стоить дороже. Вариант «с коробкой» и его цену не проверяли: в CSV из Chrome этого лота нет.</t>
  </si>
  <si>
    <t xml:space="preserve">Ferrari SF-24 — реплика 1:8</t>
  </si>
  <si>
    <t xml:space="preserve">748054401 · 4866 ₽</t>
  </si>
  <si>
    <t xml:space="preserve">Red Bull RB20 — реплика 1:8</t>
  </si>
  <si>
    <t xml:space="preserve">Mercedes W14 — реплика 1:8</t>
  </si>
  <si>
    <t xml:space="preserve">Mercedes W14</t>
  </si>
  <si>
    <t xml:space="preserve">921806170 · 4383 ₽</t>
  </si>
  <si>
    <t xml:space="preserve">Aston Martin AMR25 — реплика 1:8</t>
  </si>
  <si>
    <t xml:space="preserve">501309634 · 2853 ₽</t>
  </si>
  <si>
    <t xml:space="preserve">Постеры</t>
  </si>
  <si>
    <t xml:space="preserve">Постер McLaren M23</t>
  </si>
  <si>
    <t xml:space="preserve">30×40 см</t>
  </si>
  <si>
    <t xml:space="preserve">McLaren M23</t>
  </si>
  <si>
    <t xml:space="preserve">SKU-1 / 30X40cm no frame</t>
  </si>
  <si>
    <t xml:space="preserve">Холст без рамки. Цены других размеров — лист «Постеры — размеры».</t>
  </si>
  <si>
    <t xml:space="preserve">Постер McLaren-Mercedes MP4-23</t>
  </si>
  <si>
    <t xml:space="preserve">McLaren-Mercedes MP4-23</t>
  </si>
  <si>
    <t xml:space="preserve">SKU-2 / 30X40cm no frame</t>
  </si>
  <si>
    <t xml:space="preserve">Постер McLaren MCL34</t>
  </si>
  <si>
    <t xml:space="preserve">McLaren MCL34</t>
  </si>
  <si>
    <t xml:space="preserve">SKU-3 / 30X40cm no frame</t>
  </si>
  <si>
    <t xml:space="preserve">Постер Lotus 98T</t>
  </si>
  <si>
    <t xml:space="preserve">Lotus 98T</t>
  </si>
  <si>
    <t xml:space="preserve">SKU-4 / 30X40cm no frame</t>
  </si>
  <si>
    <t xml:space="preserve">Постер Red Bull Racing RB16</t>
  </si>
  <si>
    <t xml:space="preserve">Red Bull Racing RB16</t>
  </si>
  <si>
    <t xml:space="preserve">SKU-5 / 30X40cm no frame</t>
  </si>
  <si>
    <t xml:space="preserve">Постер Lotus 99T</t>
  </si>
  <si>
    <t xml:space="preserve">Lotus 99T</t>
  </si>
  <si>
    <t xml:space="preserve">SKU-6 / 30X40cm no frame</t>
  </si>
  <si>
    <t xml:space="preserve">Постер Jordan 191</t>
  </si>
  <si>
    <t xml:space="preserve">Jordan 191</t>
  </si>
  <si>
    <t xml:space="preserve">SKU-7 / 30X40cm no frame</t>
  </si>
  <si>
    <t xml:space="preserve">Постер Mercedes AMG W10</t>
  </si>
  <si>
    <t xml:space="preserve">Mercedes AMG W10</t>
  </si>
  <si>
    <t xml:space="preserve">SKU-8 / 30X40cm no frame</t>
  </si>
  <si>
    <t xml:space="preserve">Постер McLaren MP4/5B</t>
  </si>
  <si>
    <t xml:space="preserve">McLaren MP4/5B</t>
  </si>
  <si>
    <t xml:space="preserve">SKU-9 / 30X40cm no frame</t>
  </si>
  <si>
    <t xml:space="preserve">Постер McLaren MP4/4</t>
  </si>
  <si>
    <t xml:space="preserve">McLaren MP4/4</t>
  </si>
  <si>
    <t xml:space="preserve">SKU-10 / 30X40cm no frame</t>
  </si>
  <si>
    <t xml:space="preserve">Постер McLaren MP4/6</t>
  </si>
  <si>
    <t xml:space="preserve">McLaren MP4/6</t>
  </si>
  <si>
    <t xml:space="preserve">SKU-11 / 30X40cm no frame</t>
  </si>
  <si>
    <t xml:space="preserve">Постер Brawn BGP001</t>
  </si>
  <si>
    <t xml:space="preserve">Brawn BGP001</t>
  </si>
  <si>
    <t xml:space="preserve">SKU-12 / 30X40cm no frame</t>
  </si>
  <si>
    <t xml:space="preserve">Постер Ferrari 643</t>
  </si>
  <si>
    <t xml:space="preserve">Ferrari 643</t>
  </si>
  <si>
    <t xml:space="preserve">SKU-13 / 30X40cm no frame</t>
  </si>
  <si>
    <t xml:space="preserve">Постер Renault R25</t>
  </si>
  <si>
    <t xml:space="preserve">Renault R25</t>
  </si>
  <si>
    <t xml:space="preserve">SKU-14 / 30X40cm no frame</t>
  </si>
  <si>
    <t xml:space="preserve">Постер Ferrari F2007</t>
  </si>
  <si>
    <t xml:space="preserve">Ferrari F2007</t>
  </si>
  <si>
    <t xml:space="preserve">SKU-15 / 30X40cm no frame</t>
  </si>
  <si>
    <t xml:space="preserve">Постер Toro Rosso STR3</t>
  </si>
  <si>
    <t xml:space="preserve">Toro Rosso STR3</t>
  </si>
  <si>
    <t xml:space="preserve">SKU-16 / 30X40cm no frame</t>
  </si>
  <si>
    <t xml:space="preserve">Постер Toro Rosso STR14</t>
  </si>
  <si>
    <t xml:space="preserve">Toro Rosso STR14</t>
  </si>
  <si>
    <t xml:space="preserve">SKU-17 / 30X40cm no frame</t>
  </si>
  <si>
    <t xml:space="preserve">Постер Ferrari 312T</t>
  </si>
  <si>
    <t xml:space="preserve">Ferrari 312T</t>
  </si>
  <si>
    <t xml:space="preserve">SKU-18 / 30X40cm no frame</t>
  </si>
  <si>
    <t xml:space="preserve">Постер Toleman TG184</t>
  </si>
  <si>
    <t xml:space="preserve">Toleman TG184</t>
  </si>
  <si>
    <t xml:space="preserve">SKU-19 / 30X40cm no frame</t>
  </si>
  <si>
    <t xml:space="preserve">Постер Red Bull Racing RB7</t>
  </si>
  <si>
    <t xml:space="preserve">Red Bull Racing RB7</t>
  </si>
  <si>
    <t xml:space="preserve">SKU-20 / 30X40cm no frame</t>
  </si>
  <si>
    <t xml:space="preserve">Постер Шумахер, Ferrari — японский стиль</t>
  </si>
  <si>
    <t xml:space="preserve">Шумахер, Ferrari — японский стиль</t>
  </si>
  <si>
    <t xml:space="preserve">SKU-21 / 30X40cm no frame</t>
  </si>
  <si>
    <t xml:space="preserve">Итого</t>
  </si>
  <si>
    <t xml:space="preserve">Позиций всего</t>
  </si>
  <si>
    <t xml:space="preserve">Повторов</t>
  </si>
  <si>
    <t xml:space="preserve">1:24 дороже лимита</t>
  </si>
  <si>
    <t xml:space="preserve">Средняя прибыль с шт., ₽</t>
  </si>
  <si>
    <t xml:space="preserve">Средняя прибыль, модели 1:43, ₽</t>
  </si>
  <si>
    <t xml:space="preserve">Средняя прибыль, модели 1:24, ₽</t>
  </si>
  <si>
    <t xml:space="preserve">TMFF — одежда в стиле командной формы</t>
  </si>
  <si>
    <t xml:space="preserve">Поиск aliexpress.com 25.09.2026. Цена пересчитана из $ по курсу с листа «Параметры»; жёлтая — верхняя оценка (в выдаче была только цена для новичков), реальная может быть до двух раз ниже. Прибыль — с резервом на возвраты по одежде (10 %).</t>
  </si>
  <si>
    <t xml:space="preserve">Только вещи в стиле официальной формы команд, на сайте — с пометкой «Реплика». Командные кепки и худи Ferrari, Red Bull, Mercedes и McLaren на aliexpress.com почти не показываются — стоит поискать их на aliexpress.ru. Номер № — на картинке merch-candidates.jpg.</t>
  </si>
  <si>
    <t xml:space="preserve">№</t>
  </si>
  <si>
    <t xml:space="preserve">Команда</t>
  </si>
  <si>
    <t xml:space="preserve">Вещь</t>
  </si>
  <si>
    <t xml:space="preserve">Заказов</t>
  </si>
  <si>
    <t xml:space="preserve">Ferrari</t>
  </si>
  <si>
    <t xml:space="preserve">Футболка Ferrari · Хэмилтон 44</t>
  </si>
  <si>
    <t xml:space="preserve">футболка</t>
  </si>
  <si>
    <t xml:space="preserve">Стиль формы Ferrari 2026 с логотипами партнёров.</t>
  </si>
  <si>
    <t xml:space="preserve">Худи Ferrari · Хэмилтон 44</t>
  </si>
  <si>
    <t xml:space="preserve">кофта</t>
  </si>
  <si>
    <t xml:space="preserve">Та же расцветка, что у футболки. Цена — верхняя оценка.</t>
  </si>
  <si>
    <t xml:space="preserve">Кепка Ferrari · Хэмилтон 44</t>
  </si>
  <si>
    <t xml:space="preserve">кепка</t>
  </si>
  <si>
    <t xml:space="preserve">Мало заказов — сначала образец. Цена — верхняя оценка.</t>
  </si>
  <si>
    <t xml:space="preserve">McLaren</t>
  </si>
  <si>
    <t xml:space="preserve">Футболка McLaren · Норрис 4</t>
  </si>
  <si>
    <t xml:space="preserve">Форма McLaren 2025, номер 4.</t>
  </si>
  <si>
    <t xml:space="preserve">Поло McLaren · Норрис 1</t>
  </si>
  <si>
    <t xml:space="preserve">Командное поло 2026, номер 1.</t>
  </si>
  <si>
    <t xml:space="preserve">Кепка McLaren · Норрис 4</t>
  </si>
  <si>
    <t xml:space="preserve">Кепка в стиле кепки пилота; мало заказов. Цена — верхняя оценка.</t>
  </si>
  <si>
    <t xml:space="preserve">Red Bull Racing</t>
  </si>
  <si>
    <t xml:space="preserve">Футболка Red Bull Racing · Ферстаппен 3</t>
  </si>
  <si>
    <t xml:space="preserve">Red Bull</t>
  </si>
  <si>
    <t xml:space="preserve">Форма Red Bull 2026, номер 3. Цена — верхняя оценка. Запасной: 3256812989321292.</t>
  </si>
  <si>
    <t xml:space="preserve">Кепка Red Bull Racing · Ферстаппен 1</t>
  </si>
  <si>
    <t xml:space="preserve">Кепка пилота с номером 1. Мало заказов — сначала образец. Цена — верхняя оценка.</t>
  </si>
  <si>
    <t xml:space="preserve">Mercedes</t>
  </si>
  <si>
    <t xml:space="preserve">Футболка Mercedes · Рассел 63</t>
  </si>
  <si>
    <t xml:space="preserve">Форма Mercedes 2026 с логотипами партнёров. Цена — верхняя оценка. Запасной: 3256811449048467.</t>
  </si>
  <si>
    <t xml:space="preserve">Флисовая кофта Mercedes</t>
  </si>
  <si>
    <t xml:space="preserve">Флиска на молнии с логотипом Petronas.</t>
  </si>
  <si>
    <t xml:space="preserve">Aston Martin</t>
  </si>
  <si>
    <t xml:space="preserve">Кепка Aston Martin · Алонсо 14</t>
  </si>
  <si>
    <t xml:space="preserve">Самая продаваемая командная кепка в выдаче. Цена — верхняя оценка. Запасной: 3256810368072176.</t>
  </si>
  <si>
    <t xml:space="preserve">Футболка Aston Martin · Алонсо 14</t>
  </si>
  <si>
    <t xml:space="preserve">Форма Aston Martin, номер 14.</t>
  </si>
  <si>
    <t xml:space="preserve">Williams</t>
  </si>
  <si>
    <t xml:space="preserve">Футболка Williams · Сайнс 55</t>
  </si>
  <si>
    <t xml:space="preserve">Форма Atlassian Williams 2026. Цена — верхняя оценка. Запасной: 3256809585305917.</t>
  </si>
  <si>
    <t xml:space="preserve">Поло Williams · Сайнс 55</t>
  </si>
  <si>
    <t xml:space="preserve">Командное поло 2026. Цена — верхняя оценка.</t>
  </si>
  <si>
    <t xml:space="preserve">Кепка Williams · Сайнс 55</t>
  </si>
  <si>
    <t xml:space="preserve">Кепка пилота Карлоса Сайнса. Цена — верхняя оценка.</t>
  </si>
  <si>
    <t xml:space="preserve">Audi</t>
  </si>
  <si>
    <t xml:space="preserve">Поло Audi</t>
  </si>
  <si>
    <t xml:space="preserve">Поло Audi Sport, первый сезон Audi в Формуле 1.</t>
  </si>
  <si>
    <t xml:space="preserve">Haas</t>
  </si>
  <si>
    <t xml:space="preserve">Худи Haas</t>
  </si>
  <si>
    <t xml:space="preserve">Худи с логотипом Haas. Мало заказов — сначала образец.</t>
  </si>
  <si>
    <t xml:space="preserve">Футболка Ferrari · Леклер 16</t>
  </si>
  <si>
    <t xml:space="preserve">Та же форма Ferrari 2026, вариант Леклера. Цена — верхняя оценка.</t>
  </si>
  <si>
    <t xml:space="preserve">Футболка Ferrari</t>
  </si>
  <si>
    <t xml:space="preserve">Командная футболка без номера пилота. Цена — верхняя оценка.</t>
  </si>
  <si>
    <t xml:space="preserve">Футболка Ferrari «Монца»</t>
  </si>
  <si>
    <t xml:space="preserve">Спецвыпуск к Гран-при Италии, синяя. Год уточнить по фото. Цена — верхняя оценка.</t>
  </si>
  <si>
    <t xml:space="preserve">Кепка Ferrari «Монца»</t>
  </si>
  <si>
    <t xml:space="preserve">Синяя кепка спецвыпуска к Гран-при Италии. Мало заказов. Цена — верхняя оценка.</t>
  </si>
  <si>
    <t xml:space="preserve">Лонгслив Red Bull Racing · Перес 11</t>
  </si>
  <si>
    <t xml:space="preserve">Форма Red Bull с длинным рукавом, номер Переса — сезоны 2021–2024. Цена — верхняя оценка.</t>
  </si>
  <si>
    <t xml:space="preserve">Кепка Red Bull Racing · Перес 11</t>
  </si>
  <si>
    <t xml:space="preserve">Кепка пилота Серхио Переса. Цена — верхняя оценка.</t>
  </si>
  <si>
    <t xml:space="preserve">Футболка Mercedes · Антонелли 12</t>
  </si>
  <si>
    <t xml:space="preserve">Форма Mercedes 2026, номер Антонелли.</t>
  </si>
  <si>
    <t xml:space="preserve">Кепка Mercedes · Хэмилтон 44</t>
  </si>
  <si>
    <t xml:space="preserve">Кепка с номером 44 в стиле эпохи Хэмилтона в Mercedes.</t>
  </si>
  <si>
    <t xml:space="preserve">Позиций</t>
  </si>
  <si>
    <t xml:space="preserve">Средняя прибыль, ₽</t>
  </si>
  <si>
    <t xml:space="preserve">Все найденные лоты одежды и кепок — 739</t>
  </si>
  <si>
    <t xml:space="preserve">Тип, команда и риск определены по названию лота автоматически — могут быть ошибки. Отсортировано по заказам. Фильтр в заголовке — чтобы смотреть по вещи, команде или риску.</t>
  </si>
  <si>
    <t xml:space="preserve">Риск по названию</t>
  </si>
  <si>
    <t xml:space="preserve">Название лота</t>
  </si>
  <si>
    <t xml:space="preserve">Цена, ₽</t>
  </si>
  <si>
    <t xml:space="preserve">Для новичков, $</t>
  </si>
  <si>
    <t xml:space="preserve">Запрос</t>
  </si>
  <si>
    <t xml:space="preserve">Легенды</t>
  </si>
  <si>
    <t xml:space="preserve">имя/образ пилота</t>
  </si>
  <si>
    <t xml:space="preserve">New Ayrton Senna Racer Fashion Embroidery Cap Outdoor Sun Protection Team Baseball Cap</t>
  </si>
  <si>
    <t xml:space="preserve">f1 cap</t>
  </si>
  <si>
    <t xml:space="preserve">своя печать</t>
  </si>
  <si>
    <t xml:space="preserve">Custom Cotton Customized Print Short Sleeve T Shirt Summer Tops Tees DIY Your Like Photo Or Logo Cotton T-shirt Men Clothing</t>
  </si>
  <si>
    <t xml:space="preserve">custom print t shirt heavyweight cotton</t>
  </si>
  <si>
    <t xml:space="preserve">Men's Cotton T-shirt Personalized Your Design Here Custom Text Tshirt for Men Add Your Own Design Fashion T Shirt Men Clothing</t>
  </si>
  <si>
    <t xml:space="preserve">ferrari f1 t shirt</t>
  </si>
  <si>
    <t xml:space="preserve">Men's Personalized Cotton T-shirt Custom Text Name Tsihrts Add Your Own Message Fashion men tshirt bigger size 4XL 5XL</t>
  </si>
  <si>
    <t xml:space="preserve">Custom T-shirt Customized Print T Shirt Men Women Personalized Tops Tees DIY Your Like Photo Or Logo Cotton T-shirt Men Clothing</t>
  </si>
  <si>
    <t xml:space="preserve">red bull racing t shirt</t>
  </si>
  <si>
    <t xml:space="preserve">180g Custom Women Men Customised Printed 100% Cotton Short Sleeve Your Logo Photo Brand Text Tee Personalize Graphic Clothing</t>
  </si>
  <si>
    <t xml:space="preserve">100% Cotton T-shirt Custom Logo Street Trend Short Sleeve T-shirt Embroidery Design European American Size Tops Printing Pattern</t>
  </si>
  <si>
    <t xml:space="preserve">DIY Custom Your Brand LOGO Men Women Casual Hoodie Top Solid Color Pullover Street Personality Sweatshirt Custom Gifts</t>
  </si>
  <si>
    <t xml:space="preserve">custom logo hoodie heavyweight</t>
  </si>
  <si>
    <t xml:space="preserve">Custom T Shirt Make Your Design Logo Text Front And Back T-shirt Men Print Cotton Tshirt Personalized Gift Customized Tees Tops</t>
  </si>
  <si>
    <t xml:space="preserve">поло</t>
  </si>
  <si>
    <t xml:space="preserve">Customized Logo Breathable Polo Shirt Casual Company Group Clothing Lapel Short Sleeve Polo Shirts Work Clothes Print Embroidery</t>
  </si>
  <si>
    <t xml:space="preserve">Custom-Made Men's T-Shirts Are Suitable for Team Gatherings, Gyms, and Sports Cotton Round-Neck Short-Sleeved Shirts</t>
  </si>
  <si>
    <t xml:space="preserve">Customized Print T Shirt Men Women Custom Cotton Tops Tees DIY Your Like Photo Or Logo Cotton T-shirt Personalized Men Clothing</t>
  </si>
  <si>
    <t xml:space="preserve">Customized Printed Leisure T Shirt Tee DIY Your Own Design Like Photo Or Logo White T-shirt Fashion Custom Men's Tops Tshirt</t>
  </si>
  <si>
    <t xml:space="preserve">Custom Unisex Tshirt Add Your Own Message Cotton O Neck Top Tees Bigger Size Gift Custom Unisex Personalized Tshirts 4XL 5XL</t>
  </si>
  <si>
    <t xml:space="preserve">SLECKTON Custom Baseball Cap Fashion DIY Letter Embroidery Hats for Women and Men Cotton Design LOGO Wholesale Unisex Caps</t>
  </si>
  <si>
    <t xml:space="preserve">ferrari f1 cap</t>
  </si>
  <si>
    <t xml:space="preserve">Add Your Own Custom Text Name Personalized Message Men's T Shirt Casual Dress High Quality MensT-shirt5xL</t>
  </si>
  <si>
    <t xml:space="preserve">New Custom Compression T Shirt Your Design Logo Top Men Women Print Original Design Tshirts Jogging Workout Gym Quick Dry Tshirt</t>
  </si>
  <si>
    <t xml:space="preserve">Summer Casual Cheap POLO Shirt Personal Company Logo Customization Embroidery Printing Personalized Design Top</t>
  </si>
  <si>
    <t xml:space="preserve">1 Piece Summer Trucker Hat Custom Logo Men Women Net Polyester Baseball Cap Print Mesh Dad Hats Adjustable Sun Hat Visor</t>
  </si>
  <si>
    <t xml:space="preserve">SLECKTON Custom Logo High-quality Suede Mesh Baseball Hat Letter Embroidery Brand Design Outdoor Sport Cap Wholesale Fashion</t>
  </si>
  <si>
    <t xml:space="preserve">custom logo embroidery baseball cap</t>
  </si>
  <si>
    <t xml:space="preserve">Your Design Here T Shirts Cotton Custom T-Shirt Make Your Design Logo Text for Men and Women Personalized Tshirt Summer Presents</t>
  </si>
  <si>
    <t xml:space="preserve">UE Size Custom Team T-shirt for Women, Add Your Own Design in Front and Back, Print and Text, High-quality T-shirt for Men</t>
  </si>
  <si>
    <t xml:space="preserve">3d Printing Custom T-shirts Summer Plus Size T-shirt Design E-sports Jersey Customization Sports Outdoor Cool Round Neck Tops</t>
  </si>
  <si>
    <t xml:space="preserve">Personalized DIY Fashion T-Shirts Polyester Fabric Comfortable Breathable Sweatshirts High Quality Unisex Customized Tops</t>
  </si>
  <si>
    <t xml:space="preserve">Custom Your Exclusive 3D All Over Print T Shirt For Men Fashion Hip Hop Short Sleeve Tops Men Women Kids DIY Wholesale T-shirts</t>
  </si>
  <si>
    <t xml:space="preserve">mclaren f1 t shirt</t>
  </si>
  <si>
    <t xml:space="preserve">Custom Text Logo Embroidery Vintage Washed Cotton Baseball Cap Fashion Women Men Hat Sport Visors Snapback Cap Sun Hat</t>
  </si>
  <si>
    <t xml:space="preserve">SLECKTON Custom Cap Logo Embroidery Retro Baseball Cap for Men and Women DIY Design Letter Hat Customize Graphic Print Wholesale</t>
  </si>
  <si>
    <t xml:space="preserve">Custom Embroidered Baseball Caps For Men Woman Hat Custom Logo Men's Cap Snapback Embroidery Print Text Design Trucker Mesh Hats</t>
  </si>
  <si>
    <t xml:space="preserve">Personalized Custom Print Summer Y2K Team T-Shirt Cotton Casual Loose Short Sleeve Basics Fashion Tee Work Breathable Streetwear</t>
  </si>
  <si>
    <t xml:space="preserve">Men's Custom T-shirt With Your Own Logo Text And Photo Printed On The Front And Back Tshirt Costume Graphic Tee Tops</t>
  </si>
  <si>
    <t xml:space="preserve">Customized T-Shirts Free Printing Logo Images Old Design Clothes 100% Cotton Cultural Shirts Men's and Women's Work Clothes</t>
  </si>
  <si>
    <t xml:space="preserve">Customized 60% Cotton Hoodie Men Fashion Long Sleeve Sweatshirts Women Personality Printed Streetwear Hoody Pullovers Sudaderas</t>
  </si>
  <si>
    <t xml:space="preserve">Custom Logo Diy Baseball Cap Unisex Adjustable Men Women Sport Trucker Hat Solid Color Personalized Print Hip Hop Dad Caps</t>
  </si>
  <si>
    <t xml:space="preserve">Multi Colors Foam Trucker Caps Custom Logo Sports Hip Hop Snapback Hats Men Women Breathable Baseball Cap Diy Personalised Logo</t>
  </si>
  <si>
    <t xml:space="preserve">Unisex Summer Cheaper Trucker Hat Custom Logo Personality Baseball Cap Breathable Mesh Casual Snapback Hat Visor</t>
  </si>
  <si>
    <t xml:space="preserve">Customize Men Caps Custom Baseball Cap Women Tennis Hats Print Or Embroidery Logo Text Casual Hats Black Cap Visors Hats</t>
  </si>
  <si>
    <t xml:space="preserve">Custom Baseball Caps Hat Custom Logo Men's Cap Hip Hop Snapback Adjustable Embroidery Print DIY Team Logo Designer Baseball Caps</t>
  </si>
  <si>
    <t xml:space="preserve">mclaren f1 cap</t>
  </si>
  <si>
    <t xml:space="preserve">логотип команды</t>
  </si>
  <si>
    <t xml:space="preserve">2025 Aston Martin Team Baseball Cap for Men Women Unisex Adjustable For Snapback Hat Sporty Design Trendy Accessories</t>
  </si>
  <si>
    <t xml:space="preserve">нет F1 в названии</t>
  </si>
  <si>
    <t xml:space="preserve">AIOPESON Embroidery 35% Cotton Polo Shirts for Men Casual Solid Color Slim Fit Mens Polos New Summer Fashion Brand Men Clothing</t>
  </si>
  <si>
    <t xml:space="preserve">Custom Logo Hat Unisex Baseball Cap Men Women Snapback Hat Casual Solid Color Hip Hop Dad Caps Adult Sports Hat gorras hombre</t>
  </si>
  <si>
    <t xml:space="preserve">aston martin f1 cap</t>
  </si>
  <si>
    <t xml:space="preserve">Summer Fox Racing Cross - country Mountain Bike Commemorative T - shirt High Quality Fashion Men Women Short Sleeve Round Neck</t>
  </si>
  <si>
    <t xml:space="preserve">f1 t shirt</t>
  </si>
  <si>
    <t xml:space="preserve">Custom Design T Shirt Your Own Logo Men Casual Tees Cotton Short Sleeve Cool Tops Customized Tshirt</t>
  </si>
  <si>
    <t xml:space="preserve">Customized Cotton Printed T-shirts Men Fashion Your Logo Tshirt Women Personality Casual Streetwear Custom Tee Tops</t>
  </si>
  <si>
    <t xml:space="preserve">Customized Your Design Here T Shit Text Name Tsihrt Add Your Own Message Men's T-shirt Personalized Tees Custom Cotton Tshirt</t>
  </si>
  <si>
    <t xml:space="preserve">Personalized DIY Custom T-shirt Jersey Polyester Fiber Material Round Neck Tops Printing High Quality Short Sleeve Tees Purchase</t>
  </si>
  <si>
    <t xml:space="preserve">EU size 100% pure cotton custom T-shirt front and back team school uniform store logo text photo for men's personalized high-end</t>
  </si>
  <si>
    <t xml:space="preserve">Summer Casual Breathable Polo Shirts Company Logo Custom Print Embroidery Personalized Design Men And Women Short-Sleeved Tops</t>
  </si>
  <si>
    <t xml:space="preserve">Men's Custom T-shirt With Your Own Logo Tshirt Text And Photo Printed On The Front And Back T Shirt Custom Gift Tees Clothing</t>
  </si>
  <si>
    <t xml:space="preserve">Tailor-made Custom Text Name Tsihrts Add Your Own Message Men's Cotton T-shirt Personalized Tee Your Design Men's Tshirt</t>
  </si>
  <si>
    <t xml:space="preserve">SLECKTON Custom Baseball Cap Fashion Letter Embroidery Sun Hats for Women and Men Cotton Design LOGO Wholesale Unisex Caps</t>
  </si>
  <si>
    <t xml:space="preserve">SLECKTON Custom Baseball Cap for Women and Men Fashion Design Brand LOGO Letter Embroidery Hats Corduroy Hats Unisex Wholesale</t>
  </si>
  <si>
    <t xml:space="preserve">Custom T shirt Women Men Customised Printed 100% Cotton Short Sleeve Your Logo Photo Brand Text Tee Personalize Graphic Clothing</t>
  </si>
  <si>
    <t xml:space="preserve">Men's Personalized T-shirt 100%Cotton Tee Custom Shirt Make Your Design Logo Text Men Women Design Your Gift Couple Tshirt</t>
  </si>
  <si>
    <t xml:space="preserve">6.7oz 190gsm Combed Cotton Tees Tshirts Mens Solid Tops Woman Male Custom Team Uniform Class Clothes Summer Brand Customization</t>
  </si>
  <si>
    <t xml:space="preserve">Custom T-shirt with Hip-hop Street Team Logo Men's 230G Pure Cotton, Loose Fit, High-temperature Printed Custom Top</t>
  </si>
  <si>
    <t xml:space="preserve">Desktop_Amazing Tees Men Ohlins Shock Suspension Car Motorcycle Sport Racing T Shirt Summer Casual Oversized men's Short sleeve</t>
  </si>
  <si>
    <t xml:space="preserve">f1 racing car graphic t shirt</t>
  </si>
  <si>
    <t xml:space="preserve">Custom Baseball Caps Adjustable Embroidery Print Hat Custom Logo Men's Cap Hip Hop Snapback DIY Team Logo Designer Baseball Caps Adjustable fit for all head sizes 951 sold 4.8</t>
  </si>
  <si>
    <t xml:space="preserve">red bull racing cap</t>
  </si>
  <si>
    <t xml:space="preserve">Custom Logo Kids Adult Foam Trucker Hat Summer Adjustable Dad Hat Popular Sports Cap Boy Girls Mesh Caps School Activity Gorras Boys and youth 844 sold 4.8</t>
  </si>
  <si>
    <t xml:space="preserve">SLECKTON Custom Logo Hats High-quality Hiphop Snapback Caps Letter Embroidery Brand Design Trucker Cap Wholesale Hat Adult</t>
  </si>
  <si>
    <t xml:space="preserve">Custom T Shirt Make Your Design Logo Text Men Print Company Team Cotton Tshirt Personalized T-shirt Gift Tees Tops</t>
  </si>
  <si>
    <t xml:space="preserve">Personalized Logo Design Baseball Caps Custom Logo Sorority Cap Embroidery Monogram Color Block Baseball Caps Hip Hop Hats</t>
  </si>
  <si>
    <t xml:space="preserve">Customize Your Own Design Hoodie Personalized Embroidery Photo Logo Sweatshirt for Men and Women Casual Company Group Clothing</t>
  </si>
  <si>
    <t xml:space="preserve">Funny Adventure Dad Hat Snapback Hat Bamboo Dragonfly Rainbow Sun Cap Helicopter Propeller Design for Kids Boys Girls Adult</t>
  </si>
  <si>
    <t xml:space="preserve">2026 New Special Edition Hamilton Summer Unisex Motorsport Fans 44 Red Black Racing Team Uniform Jersey T-Shirt</t>
  </si>
  <si>
    <t xml:space="preserve">Customized Printed T Shirt Summer Gifts Tops Design Your Own Photo Or Logo T-shirt Custom Men's Tees Personalized Gift Tshirt</t>
  </si>
  <si>
    <t xml:space="preserve">Custom Embroidery Trucker Hat for Men and Women DIY Design Baseball cap LOGO Print Hat Quality Truck Hat Wholesale Unisex Reflects fashion 696 sold 4.5</t>
  </si>
  <si>
    <t xml:space="preserve">Custom Brand Diy Logo Baseball Cap For Men And Women Plain Blank Embroidery Print 5 Panel Sport Hat Basic Gorras Stays strong through seasons 612 sold 4.2</t>
  </si>
  <si>
    <t xml:space="preserve">Men's Summer T-shirt with Top-level Racing Element Pattern Print 100% Cotton Breathable Round Neck Trendy Street Style Fashion</t>
  </si>
  <si>
    <t xml:space="preserve">New DIY Pattern T-Shirt For Men Women Personalized Custom 3D Printed T Shirts Summer Casual Short Sleeve O-Neck Tops Street Tees</t>
  </si>
  <si>
    <t xml:space="preserve">Summer Quick Drying POLO Shirt Logo Custom Printing Embroidery Golf Custom Your Logo Sports T-shirt Top</t>
  </si>
  <si>
    <t xml:space="preserve">Customized Printed Leisure T-Shirt Tee DIY Your Own Design Like Photo Or Logo T Shirt Fashion Custom Men's Tops Tshirt Tees</t>
  </si>
  <si>
    <t xml:space="preserve">Summer Cheap Causal Polo Shirt Personal Company Group Logo Custom Print Embroidery Men and Women Custom Breathable polo shirts</t>
  </si>
  <si>
    <t xml:space="preserve">Diy Add Your Own Custom Text Name Men's T Shirt Casual Dress High Quality Mens T-shirt 5xL Personalized Message Band Tshirts</t>
  </si>
  <si>
    <t xml:space="preserve">Customized DIY Print Men Woman Autumn Winter Hoodies Casual Classic Pullovers Simple Comfy Streetwear Soft Warm Sports Clothing</t>
  </si>
  <si>
    <t xml:space="preserve">2024 New Fashion Your Own Design Brand Logo/Picture Personalized Custom Anywhere Men Women DIY Zipper cardigan hoodie</t>
  </si>
  <si>
    <t xml:space="preserve">Custom Prints Men's Women's Hoodies Loose Casual Wear Solid Color Hoodies Long Sleeve Hooded Personality Streetwear Sweatshirts</t>
  </si>
  <si>
    <t xml:space="preserve">Custom Brand LOGO Personality DIY Print Trucker Hat For Kids Net Baseball Cap Men Women Blank Mesh Adjustable Sun Hat Visor Adjusts for all sizes 592 sold 4.7</t>
  </si>
  <si>
    <t xml:space="preserve">Custom Logo Baseball Cap Text Photo Team Embroidery Bone Gorras Diy Casquette Snapback Hat For Men Women Stays vibrant, stylish 557 sold 4.8</t>
  </si>
  <si>
    <t xml:space="preserve">F1 Racing Team Aston Martin Daily Training Baseball Cap Fernando Alonso Men Outdoor Sunscreen Sun Hat Casual Fashion Peaked Cap</t>
  </si>
  <si>
    <t xml:space="preserve">Aston Martin F1 Team Fernando Alonso Baseball Cap for Unisex Adjustable for Snapback Hat Sporty Design Trendy Accessories</t>
  </si>
  <si>
    <t xml:space="preserve">formula 1 baseball cap</t>
  </si>
  <si>
    <t xml:space="preserve">Custom Tshirt Front Back Print Professional Your Own Logo Text Photo Male Personalized Premium Gifts T-shirt EU Size 100% Cotton</t>
  </si>
  <si>
    <t xml:space="preserve">Men Solid Crew Neck Sweatshirt Small Horse Rider Embroidery Soft Brushed Fleece Pullover Loose Fit Casual Daily Top Autumn Winte</t>
  </si>
  <si>
    <t xml:space="preserve">230g Heavy Men Women Washed Vintage Customized Print Oversized T-Shirts Street Hip Hop Punk Harajuku Casual Cotton Short EU Size</t>
  </si>
  <si>
    <t xml:space="preserve">Free Custom T-shirt Printing Logo Image Work Clothes Diy Short Sleeved Top 100% Cotton Enterprise Embroidery Team Culture Shirt</t>
  </si>
  <si>
    <t xml:space="preserve">Hide Your Wife, Alpha Werewolf Is Coming! Funny Werewolf Meme T-shirt, Trendy Casual Hip-hop Women's Short-sleeved Shirt.Y2K Top</t>
  </si>
  <si>
    <t xml:space="preserve">Men's and Women's Cotton Washed T-Shirt Custom Printed T-Shirt 230G Top DIY Your Favorite Pattern or Logo Fashionable Custom Top</t>
  </si>
  <si>
    <t xml:space="preserve">Men's short-sleeved t-shirt, printed with racing cars English graphics loose fit fashionable casual round neck top spring summer</t>
  </si>
  <si>
    <t xml:space="preserve">formula 1 t shirt men</t>
  </si>
  <si>
    <t xml:space="preserve">Hot Sale Unisex Baseball Cap Slight Curved Brim Style Trucker Hat Men &amp; Women Casual Outdoor Breathable Summer Mesh Cap</t>
  </si>
  <si>
    <t xml:space="preserve">Summer Quick-drying Polo Shirt Custom Print Logo Golf Jerseys Individual Group Personalized Custom Embroidery LOGO Polo Tees Top</t>
  </si>
  <si>
    <t xml:space="preserve">Custom Logo Solid Color Adjustable Baseball Caps For Men And Women Embroidery Print Logo Spring Summer Cotton Shade Snapback Cap</t>
  </si>
  <si>
    <t xml:space="preserve">100%cotton,Custom Children Colorful T-shirts DIY Print Your Design Kids T-shirts Boys/Girls Tee Shirts,Contact Seller Frist</t>
  </si>
  <si>
    <t xml:space="preserve">2026 New YAMAHA Logo Motorcycle Racing Race Retro Velvet Half Zipper Hoodie Men's Multi Pocket Autumn/Winter Casual Sweatshirt</t>
  </si>
  <si>
    <t xml:space="preserve">f1 hoodie</t>
  </si>
  <si>
    <t xml:space="preserve">For Mercedes Benz W177 W205 W204 W212 W213 W176 CLA Steering Wheel Top Centre Marker Made of Alcantara Car Interior Accessories</t>
  </si>
  <si>
    <t xml:space="preserve">mercedes f1 t shirt</t>
  </si>
  <si>
    <t xml:space="preserve">EMROJENTIA Custom Embroidered Caps and Hats - Personalized Logo or Text- - Ideal for Business, Events, and Gifts</t>
  </si>
  <si>
    <t xml:space="preserve">Custom-made men's T-shirts are suitable for team gatherings, gyms, and sports cotton round-neck short-sleeved shirts</t>
  </si>
  <si>
    <t xml:space="preserve">2025 New F1 Racing T-shirt Williams Fan Shirt Outdoor Sports Quick drying Breathable Cycling Top Men's Casual Street T-shirt</t>
  </si>
  <si>
    <t xml:space="preserve">100% Pure Cotton Round Neck Solid Color Short Sleeved Shirt, Free to Add Your Own Design Soft Casual T-shirt, Customized T-shirt</t>
  </si>
  <si>
    <t xml:space="preserve">Free LOGO Women and men Custom Image T Shirts 100% Cotton 220g gsm Casual Short Sleeve T-Shirt Enterprise Team Cultural workwear</t>
  </si>
  <si>
    <t xml:space="preserve">Double Sided Customized LOGO Picture Women T-Shirt Summer Y2K Loose Short Sleeves Comfortable T Shirts Crewneck DIY Tee Tops</t>
  </si>
  <si>
    <t xml:space="preserve">Custom Embroidery Logo Baseball Cap Summer Breakable Net Blank Truck Caps Men's Women Text Letter Richardson Hats Custom Logo</t>
  </si>
  <si>
    <t xml:space="preserve">Personalized Custom Print Summer Cotton Comfy T-Shirt Basics Fashion Short Sleeve Street Sport Tee Shirts Loose Breathable Top</t>
  </si>
  <si>
    <t xml:space="preserve">Professional Custom Logo Printing Embroidery Design Mesh Cap Sunscreen Sun Visor Cap Casual Versatile Sun Hat Men Women Hats</t>
  </si>
  <si>
    <t xml:space="preserve">Unisex Summer Breathable Mesh Trucker Hat Bulls Head Pattern Baseball Cap Adjustable Snapback Hats For Men And Women Universal fit for all 371 sold 4.8</t>
  </si>
  <si>
    <t xml:space="preserve">TIDESHEC HipHop T Shirt Streetwear DTG Custom Graphics Cotton Men Oversize Harajuku Men Vintage Custom Short Sleeves</t>
  </si>
  <si>
    <t xml:space="preserve">Custom Logo Cotton Soft Top Baseball Cap For Women Men Classics Simple Adjustable Dad Hat Outdoor Sport Dad Hats Wholsale</t>
  </si>
  <si>
    <t xml:space="preserve">Fashionable Bull Head Printed Baseball Hat Multi functional Outdoor Leisure Fishing Hat Travel Sunshade Duck billed Hat Unisex style, instant recognition 340 sold 4.3</t>
  </si>
  <si>
    <t xml:space="preserve">180g Cotton T Shirt Print Logo Custom Name Men Women Summer Design Photo Embroidery Company Advertising Team Activities Diy</t>
  </si>
  <si>
    <t xml:space="preserve">Custom 180GSM 100% Cotton Unisex T-Shirts - Add Your Logo/Photo/Slogan, Medium Thickness for Year-Round Wear</t>
  </si>
  <si>
    <t xml:space="preserve">тема F1 без команды</t>
  </si>
  <si>
    <t xml:space="preserve">Men Women's F1 Professional Racer T Shirts Merchandise Funny Racing Meme 100% Cotton T-shirt Clothes Fun Shirt Printed 71765</t>
  </si>
  <si>
    <t xml:space="preserve">New Custom Logo Unisex 5 Panel Flat Brim Quick Drying Baseball Cap Breathable Snapback Dad Hat Hip Hop Adjustable Trucker Hats Style with purpose 297 sold 4.5</t>
  </si>
  <si>
    <t xml:space="preserve">Custom Logo Print Snapback Hat Fashion Outdoor Sunshade Hat Solid Color Breathable Logo Embroidery Hip Hop Sports Baseball Caps</t>
  </si>
  <si>
    <t xml:space="preserve">New Aston Martin F1 Team Men Baseball Cap Fernando Alonso Daily Training Outdoor Sunscreen Sun Lady Casual Peaked Cap</t>
  </si>
  <si>
    <t xml:space="preserve">Custom 3D Embroidery Trucker Hat for Men and Women DIY Design Baseball Cap LOGO Print Hat Quality Truck Hat Wholesale Unisex</t>
  </si>
  <si>
    <t xml:space="preserve">SLECKTON Fashion DIY Custom Letter Embroidery Hats Baseball Cap for Women and Men Cotton Design LOGO Brand Caps Unisex Wholesale</t>
  </si>
  <si>
    <t xml:space="preserve">Custom Baseball Cap Letter Name Text Embroidery Hats for Women Men Customize Design LOGO Unisex Caps Dropshipper Wholesale</t>
  </si>
  <si>
    <t xml:space="preserve">Custom T Shirt Make Your Design Logo Text Men Women Print Original Design High Quality Gifts Tshirt</t>
  </si>
  <si>
    <t xml:space="preserve">Aston Martin Motorsport Man Racing Hat Fernando Alonso Signature Print Baseball Cap Fashion Outdoor Sports Breathable Sun Hat</t>
  </si>
  <si>
    <t xml:space="preserve">Bestseller Custom T-Shirt: Design Your Own Front &amp; Back | Premium Unisex Tee for Couples, Teams &amp; Events</t>
  </si>
  <si>
    <t xml:space="preserve">2025 Customized Printed Leisure T Shirt Harajuku Women Tee DIY Your Like Photo Or Logo White T-shirt Fashion Custom Men's Tshirt</t>
  </si>
  <si>
    <t xml:space="preserve">Professional Custom Logo Mesh Cap Printing Embroidery Baseball Cap Sunscreen Sun Visor Cap Casual Sun Hat Designer Snapback Caps</t>
  </si>
  <si>
    <t xml:space="preserve">Customize Baseball Cap For Men Women Custom Embroidery Text Logo Design Letter Name Cotton Dad Hats Dropshipper Wholesale</t>
  </si>
  <si>
    <t xml:space="preserve">Custom Your Exclusive 3D All Over Printed T Shirt For Men Fashion Casual Short Sleeve Tops Abstract Men, Women, Kid T-shirts Tee</t>
  </si>
  <si>
    <t xml:space="preserve">Personalized Logo Design Baseball Caps Custom Logo Sorority Cap Embroidery Monogram Color Block Baseball Caps Hip Hop Hats Showcases style 226 sold 4.6</t>
  </si>
  <si>
    <t xml:space="preserve">2025 F1 Williams Team T-shirt Carlos Sainz Formula One Alex Alben 2025 T-shirt Men Women Kids Fans Shirt 3d Printed T-shirt</t>
  </si>
  <si>
    <t xml:space="preserve">100% Cotton Custom Embroidery Print Logo Baseball Cap Text Picture Designer Golf Hat Sun Protection Unisex Hip Hop Peaked Cap</t>
  </si>
  <si>
    <t xml:space="preserve">Wholesale Hat Men's Baseball Caps Unisex Casual Decorative Travel Hats Adult Tennis Caps Mesh Hats Custom Embroidery Print Logo Unisex design for all 208 sold 4.4</t>
  </si>
  <si>
    <t xml:space="preserve">American men's summer striped Italian letter print comfortable and breathable polo short sleeved T-shirt outdoor casual top</t>
  </si>
  <si>
    <t xml:space="preserve">F1 Team Long Sleeve T-shirt Spring And Autumn Edition Extra Large Men's T-shirt 2024 Red Team Checo 11 Driver's Clothing T-shirt</t>
  </si>
  <si>
    <t xml:space="preserve">Fashion Print High-Quality Hoodie Custom Logo Personal Group Brand Embroidery Men and Women Thick 100 % Cotton Pullovers Fleece</t>
  </si>
  <si>
    <t xml:space="preserve">New Jersey Parent Child Collection 2026 Season Lando Norris Oscar Piastri Comfortable T-shirt Outdoor Training Soft T-shirt</t>
  </si>
  <si>
    <t xml:space="preserve">Suede Steering Wheel Center Marker Universal Top Center Stripe Return-to-Center Sticker Racing Style Interior Decoration</t>
  </si>
  <si>
    <t xml:space="preserve">F1 Team Racing Fans T Shirt Formula One Racer Lando Norris Tees Men Women Vintage T-shirt Cotton Tshirt Tees Tops</t>
  </si>
  <si>
    <t xml:space="preserve">Yu-Gi-Oh! Osiris the Sky Dragon Oversized T-Shirt Vintage Washed Anime Graphic Tee for Men Harajuku Streetwear Short Sleeve Top</t>
  </si>
  <si>
    <t xml:space="preserve">2026 New Custom T-Shirts (Custom Logo Available), Men's and Women's Quick-Dry Sports T-Shirts</t>
  </si>
  <si>
    <t xml:space="preserve">Customized Printing Men's and Women's Hoodies, Loose Casual Clothing, Fashionable Long Sleeved Hooded Pullover, 2025</t>
  </si>
  <si>
    <t xml:space="preserve">New Aston Martin Men Baseball Cap F1 Racing Team Daily Training Fernando Alonso Baseball Cap Outdoor Sports Sunscreen Sun Hat</t>
  </si>
  <si>
    <t xml:space="preserve">Hot Fashion Aston Martin Team Baseball Cap for Men Women Unisex Adjustable for Snapback Hat Sporty Design Trendy Accessories</t>
  </si>
  <si>
    <r>
      <rPr>
        <sz val="10"/>
        <rFont val="WenQuanYi Zen Hei"/>
        <family val="2"/>
      </rPr>
      <t xml:space="preserve">【</t>
    </r>
    <r>
      <rPr>
        <sz val="10"/>
        <rFont val="Arial"/>
        <family val="0"/>
        <charset val="1"/>
      </rPr>
      <t xml:space="preserve">New Arrival</t>
    </r>
    <r>
      <rPr>
        <sz val="10"/>
        <rFont val="WenQuanYi Zen Hei"/>
        <family val="2"/>
      </rPr>
      <t xml:space="preserve">】</t>
    </r>
    <r>
      <rPr>
        <sz val="10"/>
        <rFont val="Arial"/>
        <family val="0"/>
        <charset val="1"/>
      </rPr>
      <t xml:space="preserve">Von Dutch Originals Oval Logo Oversized Graphic T-Shirt | Y2K Streetwear White Cotton Short Sleeve Tee</t>
    </r>
  </si>
  <si>
    <t xml:space="preserve">Custom Baseball Caps Men Women Vintage Dad Hat Embroidery or Print DIY Team Logo Snapback Cap Hip Hop Hat Adjustable Trucker Hat</t>
  </si>
  <si>
    <t xml:space="preserve">Team Racing 3D Hoodies Training Sweatshirts Pullover Men Long Sleeve Autumn Tops Clothing Autumn and Winter Styles</t>
  </si>
  <si>
    <t xml:space="preserve">mercedes amg f1 cap</t>
  </si>
  <si>
    <t xml:space="preserve">NORWAY Flag Hoodies Men Women Outdoor Sport Street Adventure Fitness Running Street Casual Autumn Winter Sweatshirt Top Clothing</t>
  </si>
  <si>
    <t xml:space="preserve">Custom LOGO Embroidery Baseball Caps For Men and Women Customize Letter Name Design Cotton Dad Hats Dropshipper Wholesale Flair meets style 165 sold 4.8</t>
  </si>
  <si>
    <t xml:space="preserve">Wax Dyed Wool Zipper Hooded Sweatshirt Pants Set Custom Logo Printing Embroidery Retro Washed Old Street Set</t>
  </si>
  <si>
    <t xml:space="preserve">Customized Printed Hoodie Men Loose Casual Clothing Women Long Sleeve Hooded Pullover Personality Streetwear Sweatshirts</t>
  </si>
  <si>
    <t xml:space="preserve">Custom Logo Washed Cotton Baseball Cap Personalized Embroidery Men'S Women Dad Hat Monogram Team Party Gorras</t>
  </si>
  <si>
    <t xml:space="preserve">Aston Martin F1 Team Fernando Alonso Baseball Cap Men Daily Training Peaked Cap Outdoor Sports Sunscreen Sun Hat Lady Casual Cap</t>
  </si>
  <si>
    <t xml:space="preserve">Custom Cotton T-shirt Personalized Your Design Here Custom Text Tshirt for Men Women Add Your Own Design Fashion T Shirt</t>
  </si>
  <si>
    <t xml:space="preserve">Personalized Custom Polo Shirt Add Your Own Name Department And Logo Print Sporty loose Work Uniform Tops Wholesale Dropshipping</t>
  </si>
  <si>
    <t xml:space="preserve">Women's Crop T-shirt Customize your team uniform design logo Y2K Fans Aid Club Fashion Party sisters DIY T-shirt Elasticity</t>
  </si>
  <si>
    <t xml:space="preserve">Custom Logo Running 5 Panel Quick Drying Snapback Cap Hip Hop Skateboard Flat Edge Soft Top Summer with Rope Blank Trucker Cap Your Name · Sports · Running · Unisex · Summer 144 so</t>
  </si>
  <si>
    <t xml:space="preserve">Men's summer breathable quick drying fashionable casual loose horse pattern letter printed round neck short sleeved T-shirt</t>
  </si>
  <si>
    <t xml:space="preserve">Custom Embroidery Print Logo Baseball Cap For Men And Women Ears Of Wheat Sun Hat Military Unisex Caps Cotton Dad Hat</t>
  </si>
  <si>
    <t xml:space="preserve">Men's Oscar Piastri 81 Mock Neck Compression Shirt Norris 4 Racing Fans Top Outdoor Sports Gym Quick Drying Long Sleeve T-shirt</t>
  </si>
  <si>
    <t xml:space="preserve">free custom logo Cotton Short Sleeve Solid Color O-neck T-shirt Tops Tee Customized Print Your Own Design Printed Unisex Tshirt</t>
  </si>
  <si>
    <t xml:space="preserve">Custom Graphic Logo Slim T Shirts Women Summer Cool Crewneck Y2K Clothing Trendy Slim Short All-Match Fashion Crop T-Shirt</t>
  </si>
  <si>
    <t xml:space="preserve">Custom T-Shirt 100% Cotton free print logo Men Women Short Sleeve Casual Summer Tee Logo Picture Print Embroidery Unisex Thick</t>
  </si>
  <si>
    <t xml:space="preserve">3D Ramen Chicken Noodle Soup Hoodie Beef Sweatshirt For Men Women Cotton Cute Autumn Sweatshirt Unisex Casual Jacket Tracksuit</t>
  </si>
  <si>
    <t xml:space="preserve">Fashion Men Clothing The Good The Bad and Ugly Print T Shirt for Male Il Buono Brutto Cattivo Tops Summer Commuter Casual Tees</t>
  </si>
  <si>
    <t xml:space="preserve">Men Formula Racing Summer T-shirt Loose Fit Breathable Soft Material Suitable for Daily Wear Suitable for Both Men and Women</t>
  </si>
  <si>
    <t xml:space="preserve">5-Panel Quick Dry Ultra-Light Perforated Baseball Cap Custom Logo Embroidery Outdoor Camp Running Caps Universal fit for men &amp; women 122 sold 4.9</t>
  </si>
  <si>
    <t xml:space="preserve">Customized Printed Logo Truck Driver Sponge Mesh Hat Men And Women Sports And Leisure Outdoor Sunshade Cap Baseball Hats</t>
  </si>
  <si>
    <t xml:space="preserve">Adjustable Custom Logo Men's Baseball Cap Sport Hat for Hiking Mesh Trucker Caps Unisex Embroidery Logo for Women</t>
  </si>
  <si>
    <t xml:space="preserve">Max Verstappen Racing Theme T-shirt with World Champion Logo &amp; Signature for Racing Fans Daily Wear</t>
  </si>
  <si>
    <t xml:space="preserve">Charles Leclerc 16 Signature Hat for Men Women Adjustable Distressed Caps Washed Charles Leclerc Baseball Cap Dad Gift</t>
  </si>
  <si>
    <t xml:space="preserve">Summer Custom Womens T-Shirts DIY Logo/Graphic Tops Basic Multicolor T Shirt Loose O-Neck Short Sleeve Tees Casual Woman Clothes</t>
  </si>
  <si>
    <t xml:space="preserve">Custom Logos Truck Caps Summer Breathable Net Blank Company Logo Hat Personalized Mens Baseball Cap Sorority Embroidered Hat Nov Show fandom at events 112 sold 4.8</t>
  </si>
  <si>
    <t xml:space="preserve">Y2K Retro Hoodie Men's and Women's Custom Print Streetwear Long Sleeve Pullover with Hood</t>
  </si>
  <si>
    <t xml:space="preserve">2026 New Yamaha Logo Racing Motorcycle Racing Outdoor Sports Men's Half Zipper Pocket Women's Large Hoodie</t>
  </si>
  <si>
    <t xml:space="preserve">New Brand Mens Fashion Custom Your Logo Jacket Winter Zipper Hoodie Sweater Coat Casual Sports Jacket</t>
  </si>
  <si>
    <t xml:space="preserve">Men and Women Customize Your Name Photo Hooded Sweater Autumn and Winter Casual Men's Comfortable Solid Color Hoodie</t>
  </si>
  <si>
    <t xml:space="preserve">Krav Maga T shirt Black Top Martial Casual Cotton Custom tops tee Black New Arrivals men tshirt hip hop shirt harajuku</t>
  </si>
  <si>
    <t xml:space="preserve">2025 Las Vegas GP Cap Aston Martin Special Edition Adjustable Driver Cap Racing Hat Men Women Baseball Hat</t>
  </si>
  <si>
    <t xml:space="preserve">Custom washed T-shirt free print logo oversized crop top women short-sleeved street casual embroidery Tee 100% cotton wholesale</t>
  </si>
  <si>
    <t xml:space="preserve">Customized men's washed vintage T-shirt, suitable for team gatherings, gym workouts. Made of cotton fabric.</t>
  </si>
  <si>
    <t xml:space="preserve">Men’s #93 #63 Racing Graphic Tee Number Printed Breathable Quick-Dry Family Matching Off-Road Summer Sports T-Shirt Moto</t>
  </si>
  <si>
    <t xml:space="preserve">Custom Logo Cap Rear Closed Sports Golf Cap Outdoor Unisex DIY Design Alphabet Embroidery Custom Printed Cap Wholesale</t>
  </si>
  <si>
    <t xml:space="preserve">Fashion Zipper Hoodie Custom Design 100% Cotton Sweatshirt Embroidery Company Logo Thin Solid Color Hoodie Printing Text Pattern</t>
  </si>
  <si>
    <t xml:space="preserve">Customized T-shirt with Hip-hop Street Team Logo Men's Washed Cotton, Loose Fit, High Temperature Printing Custom Top</t>
  </si>
  <si>
    <t xml:space="preserve">Custom Diy Your Design T Shirts Summer Personality Short Sleeve 3D Printed T-shirts Mens Women Breathable Oversized Tees Tops</t>
  </si>
  <si>
    <t xml:space="preserve">3D Print Colorful Graphic JT Racing Jersey Fashion Cool Outdoor Motorcycle Riding Sports Long Sleeve T-Shirt Loose Crew Neck Top</t>
  </si>
  <si>
    <t xml:space="preserve">T-shirt for Men Summer New Fashion "Box Box Box" F1 Tyre Print Clothing Casual Street Clothes Adults Kids Tee Shirt Racing Tops</t>
  </si>
  <si>
    <t xml:space="preserve">Customized embroidery Logo baseball hat trucker cap for Team ,Sports</t>
  </si>
  <si>
    <t xml:space="preserve">GS 100% Adrenaline Motorrad Biker Fan Men's Hoodies Sweatshirts GS R1200 F1 M4 M5 M6 X5 X6 Zipper Hooded Sweatshirt Man Jackets</t>
  </si>
  <si>
    <t xml:space="preserve">Custom Print PU Leather Label Logo Suede Color-block Baseball Cap Men and Women Outdoor Adjustable Mesh Truck Driver Hat Gorras</t>
  </si>
  <si>
    <t xml:space="preserve">100% Cotton Hoodie Custom Logo Casual Zipper Hoodie Printing Company Design Quality Thin Sweatshirt Embroidery Personality Brand</t>
  </si>
  <si>
    <t xml:space="preserve">Customized Clothes Print Logo T Shirt Men Women Cotton Tops Tees DIY Your Own Design Photo Shirts Team Workwear</t>
  </si>
  <si>
    <t xml:space="preserve">Aston Martin F1 Warm Knitted Cap Hip Hop Bonnet Hat Autumn Winter Outdoor Beanies Hats for Unisex Adult</t>
  </si>
  <si>
    <t xml:space="preserve">High Quality Men Formula 1 f1 Black T-Shirt Box Box Box F1 Tyre Compound V2 Pure Cotton Shirt Tees Harajuku TShirt</t>
  </si>
  <si>
    <t xml:space="preserve">2025 Miami International Home Jersey 3D Printed T-Shirt Adult Casual Quick-Drying Sports T-Shirt Simple Casual Pink Top</t>
  </si>
  <si>
    <t xml:space="preserve">2026 Arirang Kpop World Tour 3D Print Football Jersey T-shirt Men Women Summer Sports T-shirt Breathable Quick Drying Clothing</t>
  </si>
  <si>
    <t xml:space="preserve">логотип F1/FIA или спонсора</t>
  </si>
  <si>
    <t xml:space="preserve">Flag F1 FIA Formula 1 World Championship Washed Men's Baseball Cap Outdoor Trucker Snapback Caps Dad Hat Golf Hats</t>
  </si>
  <si>
    <t xml:space="preserve">Custom Print Logo Cotton Polo Shirt Men Customized Text Photo Lapel PoloShirts Golf Group Company Team Quality Work Clothes 240g</t>
  </si>
  <si>
    <t xml:space="preserve">Fashion Washed Sweatshirt Custom Logo Casual Tie-dye Pullover Print Embroidery Company Team Design European And American Size</t>
  </si>
  <si>
    <t xml:space="preserve">1 PCS Free Custom Logo Baseball Cap Kids Personality DIY Design Trucker Hat 100% Polyester Hats Blank Mesh Cap Boys Girl Casquet 79 sold 4.8</t>
  </si>
  <si>
    <t xml:space="preserve">2026 New Alex 73 Racing Team Polo Shirt Men's Fermin Aldeguer 54 Driver Breathable T-shirt Moto Sports Casual Gresini Polo 5XL</t>
  </si>
  <si>
    <t xml:space="preserve">New Unisex Custom Logo Hole Broken Baseball Caps Hip Hop Adjustable Men Snapback Trucker Hat Outdoor Casual for Women Dad Hats Sun protection for face 78 sold 5</t>
  </si>
  <si>
    <t xml:space="preserve">Isle of Man TT 3D Printed T-Shirts Motorcycle Racing Fashion Streetwear Men Women Sports Oversized T Shirt Kids Tees Tops Jersey</t>
  </si>
  <si>
    <t xml:space="preserve">Custom Your Own Design Brand Logo/Picture Personalized Custom Men Women DIY Zipper Hoodies Sweatshirt Casual Hoody New Pullover Print · Standard 76 sold 4.2</t>
  </si>
  <si>
    <t xml:space="preserve">formula 1 sweatshirt</t>
  </si>
  <si>
    <t xml:space="preserve">2026 3D printing LN1 Jersey Lando Norris men women T-shirt extreme sports breathable quick drying short sleeved sweatshirt TOP 75 sold 5</t>
  </si>
  <si>
    <t xml:space="preserve">Custom Logo Fluorescent Baseball Caps For Men Women Quick Dry Flat Brim 5 Panel Snapback Hats Adjustable Hip Hop Skateboard Cap Print · Outdoor · Casual · Running · Polyester 74 so</t>
  </si>
  <si>
    <t xml:space="preserve">2025 new Ayrton Senna No.12 racing car 3D printed summer sports casual breathable men's and women's short sleeved T-shirt</t>
  </si>
  <si>
    <t xml:space="preserve">2026 New Racing No. 63 Rider George Russell Fan 3D Printed Pattern T-Shirt Men Women Summer Casual Short Sleeve Family Matching</t>
  </si>
  <si>
    <t xml:space="preserve">2024 MiHoYo Game Zenless Zone Zero Print T-shirt ZZZ Role Wise Belle Graphic Long Sleeved T Shirt Harajuku Men Women O-neck Tees</t>
  </si>
  <si>
    <t xml:space="preserve">Men's long-sleeved pure cotton T-shirt, 230 grams thick, custom printed with company logo, loose-fitting for sports activities</t>
  </si>
  <si>
    <t xml:space="preserve">Verstappen 33 F1 Car Racing Multicolor Hat Peaked Women's Cap Personalized Visor Sunprotection Hats</t>
  </si>
  <si>
    <t xml:space="preserve">Custom Racing Polo Shirt Personalized Team Name Logo Your Name Stripe Color Blocking Short Sleeve Uniform Motorsport Tee Tops</t>
  </si>
  <si>
    <t xml:space="preserve">Lando Norris 1 Driver Summer Fashion 3D Quick-Dry Breathable Men's T-Shirt - Exclusive Racing Gear for Fans - Men's Clothing</t>
  </si>
  <si>
    <t xml:space="preserve">New Funny Math Formula 3D Printed Graphs T Shirt Men And Women Summer Casual Short-sleeve Oversize Street T-shirt Kid Tees Tops</t>
  </si>
  <si>
    <t xml:space="preserve">2025 Hero Ayrton Senna Racer F1 Mens Jackets Hooded Coats Casual Zipper Sweatshirts Male Men Sweatshirt Outerwear Hoodies Jacket</t>
  </si>
  <si>
    <t xml:space="preserve">Angine De Poitrine Music T-Shirt Beach Streetwear T Shirts Cotton Popular Tee Shirt For Man Custom Logo Clothing</t>
  </si>
  <si>
    <t xml:space="preserve">300g pure cotton hoodie custom design, personalized logo, long sleeved new men's and women's universal large casual sports sweat</t>
  </si>
  <si>
    <t xml:space="preserve">Maden Unisex Vintage F1 Embroidered Baseball Cap Black Flat Brim Adjustable Hat Casual Sports Sun Hat for Spring and Summer Cap</t>
  </si>
  <si>
    <t xml:space="preserve">Custom Print Embroidery Logo Flat-brimmed baseball cap Unisex Outdoor Hat Hip Hop Dad Hat Gorras Hombre Street Snapback Hat Print · Outdoor · Acrylic · Women · Four Seasons 65 sold</t>
  </si>
  <si>
    <t xml:space="preserve">New Aston Martin Summer Racing Hat Fernando Alonso Same Style Man Baseball Cap Fashion Daily Training Daily Outdoor Sun Hat</t>
  </si>
  <si>
    <t xml:space="preserve">Lando Norris Number 4 New Racing Style Jersey Extreme Sports Racing Wear Breathable Quick Dry Sportswear T Shirt Cycling Top</t>
  </si>
  <si>
    <t xml:space="preserve">Customized Baby Kids Boy Girl Sweatshirt Add Your Logo Text Long Sleeve Cotton Fleece DIY Pullover Hoodie Tops Toddler Clothes</t>
  </si>
  <si>
    <t xml:space="preserve">Kimi A-Antonellis Sun Baseball Cap Summer Vintage Trucker Hat For Female Male Hunting Camping Baseball Caps</t>
  </si>
  <si>
    <t xml:space="preserve">2024 Hoodie men's new autumn vintage street ins fashion brand large size personality letter print plus fleece hoodie</t>
  </si>
  <si>
    <t xml:space="preserve">Custom Men's Football Jersey Embroidered Sportswear for Teams Las Vegas Short Sleeve Breathable Loose Fit t shirt Personnalisé</t>
  </si>
  <si>
    <t xml:space="preserve">Sports Quick Drying Grid Baseball Cap Custom Printed Logo for Men and Women Waterproof Duckbill Cap Personalized Embroidery</t>
  </si>
  <si>
    <t xml:space="preserve">F1 Formula 1 Print Cotton Shirt Hombre Box Box Box Infographic F1 Tyre Compound Men Fashion Streetwear Adult T Shirt O Neck</t>
  </si>
  <si>
    <t xml:space="preserve">2022 Men's Autumn And Winter New F1 Driver Lewis Hamilton Digital 44 Logo Print Hoodie Zipper Hooded Sweatshirt Cotton Warm Tops</t>
  </si>
  <si>
    <t xml:space="preserve">Custom Graphic Logo Snow Wash T-Shirts Vintage Loose Clothing Fashion All-match O-Neck Short Sleeve Unisex Summer 100%cotton tee</t>
  </si>
  <si>
    <t xml:space="preserve">Autumn Winter Fashion Men Custom Your Logo Double Zipper Sweatshirt Hoodie Jacket Hoodies Jacket Sportswear Male Hoodie Jacket</t>
  </si>
  <si>
    <t xml:space="preserve">Luxury Bull Animal Baseball Caps Men Women Snapback Cap Female Male Rancher Cap Sun Hat Kpop Designer Man Trucker Hat Gorras 60 sold 4.2</t>
  </si>
  <si>
    <t xml:space="preserve">Men's and Women's Racing T-Shirts - Driver #1 Lando Norris and Driver #81 Piastri Casual Short-Sleeve Sports Tops</t>
  </si>
  <si>
    <t xml:space="preserve">Simple Solid Color Hoodie Custom Design Thin Sweatshirt Embroidery Brand Pattern Corporate Team Hoodie Print Company Logo</t>
  </si>
  <si>
    <t xml:space="preserve">SLECKTON Custom LOGO Embroidery Baseball Cap for Women and Men DIY Print Mens Mesh Cap Fashion Summer Sun Hat Unisex Wholesale</t>
  </si>
  <si>
    <t xml:space="preserve">Custom Logo Men Adjustable Spring Autumn Baseball Cap Solid Wheat Ear Embroidery Fashion Trucker Cap Women Peaked Cap Fs Sun Hat</t>
  </si>
  <si>
    <t xml:space="preserve">Lando Norris #4 Racing Hoodie, Men Women Mclaren Inspired Team Logo Casual Pullover Sweatshirt for Fans Streetwear</t>
  </si>
  <si>
    <t xml:space="preserve">Customize Womens Hoodies Street Oversized Pocket Sweatshirts Hip Hop Unisex Tops DIY Your Logo/Graphic Pullovers Woman Clothes</t>
  </si>
  <si>
    <t xml:space="preserve">Fashion Custom Your Logo PatchworkTracksuits Men Casual Athletic Sets 2-piece Suit Long Sleeve Pullover Hoodie + Pants Set</t>
  </si>
  <si>
    <t xml:space="preserve">Aston Martin Fernando Alonso Daily Training Baseball Cap Print Racing Hat Men Peaked Cap Summer Outdoor Sports Cotton Sun Hat</t>
  </si>
  <si>
    <t xml:space="preserve">Custom Logo Fully Enclosed Hat Men's Fashion Spring and Summer Post-sealing Baseball Cap Women's Outdoor Sunshade Hip-hop Hats Secure Fit, No Bulk 52 sold 4.3</t>
  </si>
  <si>
    <t xml:space="preserve">Funny Need Money for Custom Double Sided Print Tshirt Male Pure Cotton T Shirts Short Sleeve Men Women Casual Oversized T-shirts</t>
  </si>
  <si>
    <t xml:space="preserve">Motorcycle Dakar Rally Baseball Cap Retro Motor Off Road Racing Sandwich Hats for Men Women Breathable Dad Hat Running Golf</t>
  </si>
  <si>
    <t xml:space="preserve">2026 Summer New AI Long Sleeved Top for F1 McLaren Team Driver Breathable Comfortable Norris' Racing Suit Family Kids Tees</t>
  </si>
  <si>
    <t xml:space="preserve">Personalized Customize Autumn Casual Sport Hoodie Men Fleece Team Basic Sweatshirts Street Office Workwear Creative Clothing</t>
  </si>
  <si>
    <t xml:space="preserve">Physical formula pattern 3D Printed Hoodie Cosplay Costume Pullover Casual streetwear Hooded Sweatshirts Men Clothing Tops</t>
  </si>
  <si>
    <t xml:space="preserve">Franz Hermann F1 Graphic - Signature with German Flag Stripes Motorsport Art Baseball Cap fashionable Male hat Men Caps Women's</t>
  </si>
  <si>
    <t xml:space="preserve">Custom embroidered logo hat Men's and women's baseball cap design DIY picture printing logo hat Summer sun hat wholesale Print · Outdoor · Fashion · Women · Summer 48 sold 5</t>
  </si>
  <si>
    <t xml:space="preserve">Custom Embroidery T Shirt Premium 100% Cotton T shirt Diy Your Own Design Brand Company Team Pet Animal Logo Men Women Tee Tops</t>
  </si>
  <si>
    <t xml:space="preserve">Unisex Plain 5 Panel Trucker Hat Professional Custom Print Embroidery Logo Summer Outdoor Mesh Foam Baseball Cap For Men Women</t>
  </si>
  <si>
    <t xml:space="preserve">Racing Style T-Shirt 2026, Round Neck, Short Sleeve, Casual, Breathable, Polyester, for Daily Wear, for Male Motorsport Fans</t>
  </si>
  <si>
    <t xml:space="preserve">F1 Driver Lewis Hamilton Digital 44 New Spring Autumn Jacket Men Sweatshirt Hoodies Fleece Cotton Zipper Harajuku Male Coat</t>
  </si>
  <si>
    <t xml:space="preserve">Martini Racing 2024 Men's Fashion Hoodies Spring And Autumn Solid Color Zipper Pullover Comfort Harajuku Top Sweatshirts Cotton · Regular · Formula 1 · Solid · Street 45 sold 3.9</t>
  </si>
  <si>
    <t xml:space="preserve">Men's Japanese Racing Car T-Shirt Formula DRIFT Logo WRX STI Graphic J-Spec Design Y2K Oversized Fit Tee for Motorsport Fans</t>
  </si>
  <si>
    <t xml:space="preserve">Men's Summer Short-Sleeved T-Shirt Aston Martin Racing Logo 2026 New Style Fashionable Sports Men's T-Shirt</t>
  </si>
  <si>
    <t xml:space="preserve">multi</t>
  </si>
  <si>
    <t xml:space="preserve">2024 F1 SENNA T-shirt Shirt 30 Yeas Commemorative T-shirt ALONSO, Charles Leclerc, Checo Perez T-shirt Uniform Formula 1 Tee 6XL</t>
  </si>
  <si>
    <t xml:space="preserve">Men's Winter Plus Velvet Hoodie with Zipper Custom Printed Embroidery Company Logo Thick Warm Coat Jacket Size S-5XL</t>
  </si>
  <si>
    <t xml:space="preserve">Men's Custom Printed Zipper Hoodie, Fashion Zipper Long-sleeved Hoodie, Women's Personalized Casual Hoodie</t>
  </si>
  <si>
    <t xml:space="preserve">Custom logo 7 Panel Baseball Cap Hip Hop Mesh Cap Men's Trucker Hat Visor Hard top Snapback Female unisque DIY design printed gr</t>
  </si>
  <si>
    <t xml:space="preserve">56mm 60mm 65mm 75mm Car Wheel Center Hub Caps Cover Rim Exterior Sticker For Mercedes Benz A B C E Class GLC GLK GLE GLA CLA GLB</t>
  </si>
  <si>
    <t xml:space="preserve">Customizable Thick Sweatshirt for Man Women Plain Hoodie Sweater Autumn Winter Fleece Sweatshirts Logo Original Design</t>
  </si>
  <si>
    <t xml:space="preserve">New Fashion AYRTON SENNA HERO F1 Men Casual Cotton Man Baseball Cap Men Women Unisex Trucker Hat Snapback Adjustable Hats</t>
  </si>
  <si>
    <t xml:space="preserve">Retro Bull Shifters T-Shirt Men's 100%Cotton Short Sleeve Left 4 Dead 2 O-neck Summer Top Tee</t>
  </si>
  <si>
    <t xml:space="preserve">Men T-shirt Rock Band Disturbed The Sickness 3D Print T Shirt Tops Womens Sports Large Size Tops Tees Summer T-shirt Kids Clothe</t>
  </si>
  <si>
    <t xml:space="preserve">2025 New Ayrton Senna No #12 Racing Car 3D Printed Summer Sports Casual Breathable Men Women Short Sleeve T-Shirt Cycling</t>
  </si>
  <si>
    <t xml:space="preserve">Customized sweatshirt free printing logo photo hoodie 100% cotton autumn and winter work clothes men and women team clothing</t>
  </si>
  <si>
    <t xml:space="preserve">The Legend Ayrton Senna Men's shirt formula fans t-shirt</t>
  </si>
  <si>
    <t xml:space="preserve">Bull’s Krysztof Ratajski Dart Shirt Match jersey Sports Dry Quickly Men's T-Shirt Children's Clothing Tee Top Y2k Woman</t>
  </si>
  <si>
    <t xml:space="preserve">Bulls No.23 Basketball Jersey Red Flame Bull &amp; Player Print Breathable Mesh Sleeveless Retro Sports Fan Tank Top Kids</t>
  </si>
  <si>
    <t xml:space="preserve">Custom Print Embroidery Logo Adult Cotton Baseball Cap Women Men Sun Caps Hip Hop Snapback Cap Team Caps Advertising Hat Gorros</t>
  </si>
  <si>
    <t xml:space="preserve">Aston Martin Racing Team Hat Fernando Alonso Lance Stroll Baseball Cap High Quality Men Peaked Cap Summer Outdoor Sun Hat</t>
  </si>
  <si>
    <t xml:space="preserve">Lando Norris 2025 Grandstand'25 Sweatshirt Breathable Quick Dry Short Sleeve Sweatshirt, Fashion Trend 3D Printed Motorcycle Polyester · Quick Dry · Loose · Formula 1 · Print 37 so</t>
  </si>
  <si>
    <t xml:space="preserve">2026 McLaren Lando Norris No.4/81 Race Suit Style T-Shirt Men's Quick-Dry Breathable Classic F1 Fan Design For Daily Outdoor</t>
  </si>
  <si>
    <t xml:space="preserve">Custom Design T-Shirt Your Own Logo Men Casual Tees Cotton Short Sleeve Cool Tops Customized Tshirt Personalize T Shirt Tops</t>
  </si>
  <si>
    <t xml:space="preserve">2025 new Jersey Lando Norris extreme sports breathable quick drying short sleeved sweatshirt</t>
  </si>
  <si>
    <t xml:space="preserve">Customized Hoodie Heavy Weight High Quality Fleece Oversize Hoodies Brand Custom Logo Design Printing For Wholesale Dropship</t>
  </si>
  <si>
    <t xml:space="preserve">Women Men L-Lando N-Norris Signed LN4 Outdoor Hat Spring Sun Cap Casual Baseball Cap Hip Hop Sunscreen Hats</t>
  </si>
  <si>
    <t xml:space="preserve">Ayrton Senna Brazilian Formula 1 Legend Men Hoodies Sweatshirts Zip up Hooded Sweatshirt Men Car F1 Sportswear Casual Jacket</t>
  </si>
  <si>
    <t xml:space="preserve">2024 Autumn/Winter Children's Hoodie Customization Your Logo Fashion Effect Picture Free Hoodie Printed Sweater Costom Logo</t>
  </si>
  <si>
    <t xml:space="preserve">Sergio Perez F1 Car Racing Washed Men's Baseball Cap Sunprotection Trucker Snapback Caps Dad Hat Golf Hats</t>
  </si>
  <si>
    <t xml:space="preserve">Baseball Cap Outdoor Summer Sports Hat Embroidered Men Women Baseball Cap For Mercedes Benz AMG W203 W206 W220 W205 W211 GLC GLK</t>
  </si>
  <si>
    <t xml:space="preserve">Outdoor Custom Logo Washed Cotton Baseball Hat DIY Embroidery Women Leopard Print Adjustable Snapback Dad Cap Men Trucker Hats</t>
  </si>
  <si>
    <t xml:space="preserve">Custom embroidered hat for men and women Baseball cap design DIY picture printing Custom logo cotton hat wholesale Print · Outdoor · Women · Four Seasons · Women 32 sold 4.3</t>
  </si>
  <si>
    <t xml:space="preserve">Circuit de Spa-Francorchamps F1 Records T-Shirt graphic t shirt vintage custom t shirt man clothes tee shirts for men</t>
  </si>
  <si>
    <t xml:space="preserve">Custom Logo Unisex Mesh Baseball Cap Outdoor Casual Men Adjustable Trucker Hat Fashion Women Solid Color Snapback Dad Hats</t>
  </si>
  <si>
    <t xml:space="preserve">Bull head print Casual Graphic T-Shirt Short Sleeve Sports men's T-shirt Unisex Casual Daily Wear Summer Men's Racing T-shirt</t>
  </si>
  <si>
    <t xml:space="preserve">Custom Embroidery Color Blocked Mesh Hat for Men and Women Baseball Cap Wholesale Design Print Richardson Truck Driver Hat</t>
  </si>
  <si>
    <t xml:space="preserve">Cool Ayrton Senna Print Sandwich Baseball Cap Motocross Racing Bucket Cap Dad Hat Unisex Snapback Hats for Travel Hiking Fishing</t>
  </si>
  <si>
    <t xml:space="preserve">2023 Ayrton Senna Helmet Formula One Brasil Legend Driver Pilot Fashion Men Clothing Graphic T Shirts Street Couple T-shirt</t>
  </si>
  <si>
    <t xml:space="preserve">New High-End Pure Cotton Baseball Cap Custom Printed Logo for Men and Women's Fashionable Duck Tongue Cap DIY Design Embroidery</t>
  </si>
  <si>
    <t xml:space="preserve">Newest Custom Design Embroidery Lady Man Fashion Sport Baseball Cap 12 Horoscope Hats Sport Snapback Zodiac Hats</t>
  </si>
  <si>
    <t xml:space="preserve">2024 Your Own Design Brand Logo/Picture Personalized Custom Anywhere Men Women DIY Color blocking fashion hoodie Fashion New</t>
  </si>
  <si>
    <t xml:space="preserve">Personalized Custom Print 21 Color Fashion Short Sleeve Man Cotton O-Neck T Shirt Casual Team Street Clothes Breathable Work Top</t>
  </si>
  <si>
    <t xml:space="preserve">2026 New AI Long Sleeved Top for F1 McLaren Team Driver Norris' Racing Suit Comfortable and Breathable Family Kids Tees Tops</t>
  </si>
  <si>
    <t xml:space="preserve">The King of Racing Ayrton Senna F1 Men Hoodies Sweatshirt Zipper Hooded Sweatshirts Men Clothing Sportswear Coats Casual Jacket</t>
  </si>
  <si>
    <t xml:space="preserve">Motorcycle R1200 GS Men's Hoodies Sweatshirts F1 R 1200 GS Sweatshirt M3 M5 X5 X6 Jacquard Hoodie Fleece Men Hooded</t>
  </si>
  <si>
    <t xml:space="preserve">KUNEMS Custom Logo Patchwork Baseball Cap for Men and Women DIY Letter Embroidery Hat Washed Sunshade Hat Print Wholesale</t>
  </si>
  <si>
    <t xml:space="preserve">2024 Custom Logo Full Seal Baseball Hat Men's Spring and Summer Solid Color Flat Edge Sports Cap Outdoor Casual Sun Hats Gorras Solid · Outdoor · Sports · Polyester · Unisex 28 sol</t>
  </si>
  <si>
    <t xml:space="preserve">T Shirt Print ,Graphic-Cotton Tees Size Plus,Grunge Revival Essential - Contrast Red/White Graphics With Edgy GAGADO Detail | 100% Cotton2025,Y2K,Oversized Shirt</t>
  </si>
  <si>
    <t xml:space="preserve">Custom Logo Snapback Cap Team Embroidery Monogram Baseball Hat Personalized Men Women Gorras Planas Hip Hop Bone Aba Retro</t>
  </si>
  <si>
    <t xml:space="preserve">Party Custom Logo Picture Personalized Women's Crop T-Shirts Tight Cotton T Shirt Summer O-Neck Streetwear Y2K Beach Clothes</t>
  </si>
  <si>
    <t xml:space="preserve">Lewis Hamilton Shirt Formula Racing Driver British Championship Fans Tshirt cotton vintage hiphop tee</t>
  </si>
  <si>
    <t xml:space="preserve">Ayrton Senna Print Graphic T Shirts Summer Short Sleeve Tees Tops Men Cotton Casual Large Size T-shirts Men Clothing Streetwear</t>
  </si>
  <si>
    <t xml:space="preserve">Add Your Own Message Baseball Cap Tailor-made Custom Text Name Boyfriend Hats Birthday Gifts Fashion Caps Your Design Here Hats Unisex style for men 26 sold 5</t>
  </si>
  <si>
    <t xml:space="preserve">BURTON pattern printed baseball cap Men's summer fashionable casual sports hat women Breathable sun snapback hats cool mesh hat Unisex piercing jewelry 26 sold 4.6</t>
  </si>
  <si>
    <t xml:space="preserve">F1 driver Lewis Hamilton digital 44 Harajuku Zip Sweatshirt Winter Jacket Clothes Popular Hoodie Men Pocket Long Sleeve Tops</t>
  </si>
  <si>
    <t xml:space="preserve">Yamaha YamaLube Logo Motorcycle Racing Team Men Half Zipper Hoodie Spring Male Sweatshirt Fashion Sports Men's Pullover Clothes</t>
  </si>
  <si>
    <t xml:space="preserve">Custom 5 Planes Trucker Hat Outdoor Adult Casual Baseball Caps Flat Bill Snapback Hats With Logo Embroidery</t>
  </si>
  <si>
    <t xml:space="preserve">230g100% Cotton Polo Shirt Print Logo Customized Embroidery Company Group Name Men Women Short Sleeved Breathable Top</t>
  </si>
  <si>
    <t xml:space="preserve">Carlos Sainz - F1 Driver Williams Team Baseball Cap Cosplay Luxury Brand Uv Protection Solar Hat Man Women's</t>
  </si>
  <si>
    <t xml:space="preserve">Vintage Michael Schumacher F1 Legend Racer2026 Collage Graphic Cotton Unisex Motorsport Fan Tee Shirt</t>
  </si>
  <si>
    <t xml:space="preserve">Summer Men's Customized T-shirt Barber Professional Leisure Fashion Customized Short Sleeve Plus Size Comfortable Top</t>
  </si>
  <si>
    <t xml:space="preserve">2026 Summer Quick-Dry Sports T-Shirt - McLaren Team Lando Norris's Racing Gear Style Breathable T-Shirt (Number 4 and 81)</t>
  </si>
  <si>
    <t xml:space="preserve">Ayrton Senna Hoodie Vintage World Championship Casual Sweatshirt Unisex Long Sleeve Humor Street Fashion Style Hooded Pullover</t>
  </si>
  <si>
    <t xml:space="preserve">New Michael Schumacher helmet F1 legend T-Shirt Short sleeve tee Oversized t-shirt mens champion t shirts</t>
  </si>
  <si>
    <t xml:space="preserve">White Lewis Hamilton Blue 44 Motor Camping Baseball Caps Women Unisex Male Beach Sunscreen Hats Hip Hop Trucker Cap</t>
  </si>
  <si>
    <t xml:space="preserve">Charles Leclerc Graphic Print Baseball Cap Unisex Summer Outdoor Sun Protector Bucket Hats Snapback Cap Dad Hat</t>
  </si>
  <si>
    <t xml:space="preserve">2026 Men's Bradford Bulls Rugby League Jersey Short Sleeve Black Sport Shirt for Rugby Fans Casual Training Wear Moto Tees</t>
  </si>
  <si>
    <t xml:space="preserve">Customized Hip Hop Cotton 5 Panel Color Block Truck Hat Outdoor Sports Sun Custom Embroidery Logo Baseball Caps For Men Women</t>
  </si>
  <si>
    <t xml:space="preserve">McLaren team Lando Norris No.4 and No.81 quick-dry sports T-shirts, 2026 racing car, specially designed for F1 fans</t>
  </si>
  <si>
    <t xml:space="preserve">Hot Sale 3D Printing Bull Graphic T Shirts Short-sleeved Round Neck Men's Tee Tops Clothing Plus Size Streetwear Tshirt</t>
  </si>
  <si>
    <t xml:space="preserve">Certified Racist Meme Racing T Shirt for Men 100% Cotton Formula Racer Car Graphic Bootleg Style Casual Short Sleeve Black 2026</t>
  </si>
  <si>
    <t xml:space="preserve">Diy YOUR OWN DESIGN Hoodie Men Women Long Sleeve Pullover Hoodie Camisa LOGO PICTURE TEXT PRINT Hoodies</t>
  </si>
  <si>
    <t xml:space="preserve">Ayrton Senna Da Silva Newest TShirt for Men 1986 F1 Round Collar Pure Cotton T Shirt Distinctive Birthday Gifts Streetwear</t>
  </si>
  <si>
    <t xml:space="preserve">Special Edition Hamilton #44 Red Black Racing T Shirt Unisex Summer Breathable Quick Dry Motorsport Fans Casual Top Cycling</t>
  </si>
  <si>
    <t xml:space="preserve">hippie clothes man clothes sweat shirt summer clothes Men's t-shirts New Spanish Bull T-Shirt</t>
  </si>
  <si>
    <t xml:space="preserve">Box Box Box F1 Tyre Compound V2 Baseball Cap Men Formula 1 F1 Caps colors Women Summer Snapback Caps</t>
  </si>
  <si>
    <t xml:space="preserve">2025 BULL BORAful TEAM 100% COTTON Embroidery Cycling Caps Outdoor Street Baseball Podium Hat Fits 53-61cm heads 20 sold 5</t>
  </si>
  <si>
    <t xml:space="preserve">2026 Summer Formula Racer Men's T-Shirt 100% Cotton Unisex Men's Women's Short Sleeve Fans Gift Hiphop Y2k Casual Tee</t>
  </si>
  <si>
    <t xml:space="preserve">Leave Me Alone Kimi Raikkonen Racer F1 Formula 1 T Shirt Gothic O-Neck TShirt Polyester Streetwear</t>
  </si>
  <si>
    <t xml:space="preserve">2026 New Racing Rider # 1 Lando Norris&amp;Rider # 81piastri Fan Outdoor Sports Men's and Women's Casual Long Sleeve T-shirt</t>
  </si>
  <si>
    <t xml:space="preserve">2026 New Special Edition Hamilton Summer Unisex Motorsport Fans 44 Red Black Racing Team Uniform Jersey T-Shirt FamilyMatching</t>
  </si>
  <si>
    <t xml:space="preserve">Customize your logo design men's and women's hooded sweater logo print hoodie 320g</t>
  </si>
  <si>
    <t xml:space="preserve">Smooth Operator Baseball Cap F1 Vintage Baseball Hats Men Outdoor Adjustable Dad Hats Cap</t>
  </si>
  <si>
    <t xml:space="preserve">George Russel F1 Baseball Cap Trucker Cap Snap Back Hat Designer Hat Women's Beach Visor Men's</t>
  </si>
  <si>
    <t xml:space="preserve">Mercedes Benz Embroidered Car Sport Baseball Adjustable Leisure Cap For Mercedes Benz A C E S G Class GLC CLE CLA GLB GLS W177</t>
  </si>
  <si>
    <t xml:space="preserve">New Gilles Villeneuve - F1 1979 T-Shirt tees oversized t shirt oversized t shirts t shirts for men pack</t>
  </si>
  <si>
    <t xml:space="preserve">Outdoor Washed Cotton Broken Hole Baseball Cap Rainbow Color Fashion Hip Hop Cap Custom Embroidery LOGO Baseball Caps</t>
  </si>
  <si>
    <t xml:space="preserve">Senna Lotus Formula One Baseball Caps Peaked Cap Formula 1 F1 Sun Shade Hats for Men Women</t>
  </si>
  <si>
    <t xml:space="preserve">Fernando Alonso Funny Head Blanket Coral Fleece Plush Winter Portable Lightweight Thin Throw Blanket for Bed Travel Bedspread</t>
  </si>
  <si>
    <t xml:space="preserve">2025 Hamilton Lewis American F1 Vintage Print Tide Washed Cotton Heavy Short Sleeve T-shirt High Quality</t>
  </si>
  <si>
    <t xml:space="preserve">Custom Graphic Logo Slim T Shirts Women Summer Cool Crewneck Thread high elasticity Clothing Trendy Slim Vest Fashion Crop Vests</t>
  </si>
  <si>
    <t xml:space="preserve">New2026 Latest McLaren Racing Lando Norris Tee 2026 NO.4 Edition Breathable Sportswear Sports Inspired Short Sleeve Parent-child</t>
  </si>
  <si>
    <t xml:space="preserve">2026 McLaren Lando Norris #4/81 Racing Suit Style T-Shirt Men's Quick-Dry Breathable Classic Fan Daily Wear Kids Outdoor Outfit</t>
  </si>
  <si>
    <t xml:space="preserve">Norris 1 Racing Motorsport Jersey Tops T Shirt FamilyMatching Quick Dry Short Sleeves Tshirt</t>
  </si>
  <si>
    <t xml:space="preserve">Box Box Box Hodies F1 Tyre Compound Printed Hoodies Women's Long Sleeve Top Hooded Fashion HipHop Sweatshirt Harajuku Unisex</t>
  </si>
  <si>
    <t xml:space="preserve">SLECKTON Custom Hat Logo Embroidery Baseball Cap for Men and Women DIY Brand Design Print Summer Denim Sun Hats Wholesale Unisex</t>
  </si>
  <si>
    <t xml:space="preserve">Outdoor New Custom Logo Leopard Baseball Cap Casual Men DIY Embroidery Text Snapback Hat Fashion Women Adjustable Peaked Caps</t>
  </si>
  <si>
    <t xml:space="preserve">Kids Full Zip Hooded Jacket Oversize Relaxed Fit Hoodie Basic Custom Logo Long Sleeve Daily Casual Outer Coat</t>
  </si>
  <si>
    <t xml:space="preserve">Box Box Box F1 Tyre Compound Baseball Caps Peaked Cap Formula 1 F1 Sun Shade Hats for Men Women</t>
  </si>
  <si>
    <t xml:space="preserve">Customized Your Own Tshirt Men Custom Text Name T-sihrt Personalized Cotton Short Sleeve T Shirt Fashion Tees Tops Men Clothing</t>
  </si>
  <si>
    <t xml:space="preserve">2026 Autumn/Winter New Style Fashion Men's Racing Suit Lan Don Norris Racing Style Hoodie Suitable for Daily Wear Pullover Polyester · Regular · Formula 1 · Street · Print 17 sold </t>
  </si>
  <si>
    <t xml:space="preserve">Lando Norris LN1 3D Printed Graphic Racing Car T-shirt Men Women Summer Sports T-shirt Breathable Quick Drying Clothing Unisex</t>
  </si>
  <si>
    <t xml:space="preserve">Customize Your Logo Print Hoodie Sweatpants Men Women Tracksuit Autumn Winter Casual Sporty Outfit DIY Design Pattern Clothing</t>
  </si>
  <si>
    <t xml:space="preserve">Fashion Hoodie Casual Hoodies Pullovers Sweatshirts Men\Women Top Solid Color Hoodies Sweatshirt Custom Printing Embroidery LOGO</t>
  </si>
  <si>
    <t xml:space="preserve">Customized Logo Print Hip Hop Cap for Men Denim Brimless Docker Hat Beanie Women Washed Sailor Hats Breathable Summer Sun Visor Print · Trip · Breathable · Classic · Polyester 15 s</t>
  </si>
  <si>
    <t xml:space="preserve">2026 Bull Racing Drivers MAX POLO Shirt Blue Lapels Button Summer Breathable Quick-Drying Not Fade</t>
  </si>
  <si>
    <t xml:space="preserve">McLaren Lando Norris Racing Suit Style T-Shirt No.4/81 Quick Drying Breathable Classic Design for F1 Fans for Daily Outdoor Use</t>
  </si>
  <si>
    <t xml:space="preserve">Customized Printed Logo New Style Quick Drying Baseball Cap Breathable Sun Hats Outdoor Sports Sun Protection Duck Tongue Caps</t>
  </si>
  <si>
    <t xml:space="preserve">Petronas Hoodies Men Coat Winter Warm Fleece Petronas Sweatshirts Jacket</t>
  </si>
  <si>
    <t xml:space="preserve">Men'S Formula Racing Car Graphic Tee Black White Print Casual Crew Neck Ideal for Motorsport Fans Outdoor Activities Casual</t>
  </si>
  <si>
    <t xml:space="preserve">2025 Ayrton Senna Logo F1 Men's Jackets Hooded Coats Casual Zip Sweatshirts Male Men Clothing Outerwear Sweatshirt Hoodies</t>
  </si>
  <si>
    <t xml:space="preserve">Personalized Custom T Shirt Multi Colors Unisex Soft Cotton Casual Short Sleeve Tee Custom Your Logo Design for Men Women S-3XL</t>
  </si>
  <si>
    <t xml:space="preserve">Zipper Hoodie Casual Hooded Cardigan Zip Sweatshirt Popular Autumn Sportswear Long Sleeved Jacket Custom Logo Print Embroidery</t>
  </si>
  <si>
    <t xml:space="preserve">Lando Norris Baseball Cap Trucker Hat Streetwear For Women Men's</t>
  </si>
  <si>
    <t xml:space="preserve">Formula Racing Circuit Schedule Gear 2025 Grand Prix Places T-Shirt Graphic T Shirts Print on Demand Camisas Streetwear</t>
  </si>
  <si>
    <t xml:space="preserve">Men's Hoodie Martini Racing Print Unisex Hooded Fleece Sweatshirt Pullover Outwear Casual High Quality Streetwear 13 sold 4</t>
  </si>
  <si>
    <t xml:space="preserve">Custom Zip Up Hoodie Unisex, Y2K Oversized Heavyweight Sweatshirt, Streetwear Double Layer Thickened Jacket, Fleece Lined Sport</t>
  </si>
  <si>
    <t xml:space="preserve">Formula 1 F1 Multicolor Hat Peaked Men's Cap Martini Racing Personalized Visor Protection Hats</t>
  </si>
  <si>
    <t xml:space="preserve">Audi Racing Team Short-Sleeved T-Shirt for Fans Comfortable Pure Cotton Casual Printed Racing Driver Design</t>
  </si>
  <si>
    <t xml:space="preserve">Niki Lauda - F1 Stats with car &amp; helmet design T-Shirt T-shirt for a boy Short sleeve tee men clothes</t>
  </si>
  <si>
    <t xml:space="preserve">Ayrton Senna Brazilian Formula 1 Men's Hoodies Sweatshirts Jacquard Hoodie Fleece Men F1 Hooded Hoody Man Sweatshirt</t>
  </si>
  <si>
    <t xml:space="preserve">Men's T-shirt Cotton Your OWN Design T Shirt Man Brand Logo Picture Customized DIY Print O-neck Tshirt Personalized Tops Tees</t>
  </si>
  <si>
    <t xml:space="preserve">Men's Short-sleeved T-shirt, Printed with Racing Cars English Graphics Fit Fashionable Casual Round Neck Top 2026 New Summer</t>
  </si>
  <si>
    <t xml:space="preserve">Charles Leclerc F1 Baseball Cap New In The Hat beach hat Military Cap Man Hats Man Women's</t>
  </si>
  <si>
    <t xml:space="preserve">New style washed patched embroidered bull head baseball cap for men and women, old faded sun-visor cap</t>
  </si>
  <si>
    <t xml:space="preserve">Customize Baseball Caps Cotton Embroidery Letter Adjustable Unisex Trucker Hat Casual Snapback Cap Outdoor Sport Daily Cap Gift Print · Sports · Women · Adult 11 sold 1</t>
  </si>
  <si>
    <t xml:space="preserve">Embroidered Car Emblem Adjustable Racing Sport Baseball Hat Motorcycle Casual Cap For Mercedes Benz AMG W204 W205 W203 W211 W212</t>
  </si>
  <si>
    <t xml:space="preserve">New Aston Martin Summer Man Baseball Cap Baseball Fernando Alonso Lance Stroll Racing Hat Outdoor Sports High Quality Sun Hat</t>
  </si>
  <si>
    <t xml:space="preserve">BOX BOX BOX Art Women Tshirts F1 Car Racing Grunge Women t-shirt Vintage Female Clothing Graphic Streetwear Tops Tees</t>
  </si>
  <si>
    <t xml:space="preserve">2026 New Suzuki Racing Team Men's T-shirt Summer Short Sleeve Sports Male Clothes Tee Shirt</t>
  </si>
  <si>
    <t xml:space="preserve">For Ferrari 2026 Racing T-shirt Motorsport Official Hamilton Leclerc Summer Quick Dry Red</t>
  </si>
  <si>
    <t xml:space="preserve">Men'S Sarcastic I Want You to Know Someone Cares Not Me Graphic T-Shirt - 100% Crew Neck, Slightly Elastic Casual Summer Tee, Black with Bold Red &amp; White Print, Machine Washable, C</t>
  </si>
  <si>
    <t xml:space="preserve">2026 New Bull Racing Drivers MAX Car Enthusiast Sports T-Shirt Blue Summer Breathable Quick-Drying Not Fade</t>
  </si>
  <si>
    <t xml:space="preserve">FamilyMatching New Max Verstappen No.3 Racing T-Shirt Oracle Jersey Quick Dry Unisex Summer Sports Casual Tops Moto</t>
  </si>
  <si>
    <t xml:space="preserve">2025 Hero Ayrton Senna F1 Men's Jackets Hooded Coats Casual Zipper Sweatshirts Male Men Clothing Outerwear Hoodies Jacket S-4XL</t>
  </si>
  <si>
    <t xml:space="preserve">Men Tees Home Race Oscarr Piastri T-shirt Racing Car Design Graphic Print Tshirts Unisex Streetwear Short Sleeve Loose T Shirt</t>
  </si>
  <si>
    <t xml:space="preserve">Casual Solid Hoodie High Quality Cotton Fabric Oversized Fashion Drop Shoulder Pullover Hoodies Custom Logo Print Embroider 2023</t>
  </si>
  <si>
    <t xml:space="preserve">Suzuka Circuit F1 Records Baseball Cap Sun Cap tea Hat For Women 2024 Men's</t>
  </si>
  <si>
    <t xml:space="preserve">Personalized Cotton Smooth Operator Carlos Sainz 55 Formula Racing Driver Baseball Cap Women Men Breathable Dad Hat Outdoor</t>
  </si>
  <si>
    <t xml:space="preserve">Customized Printed Logo Five Pieces Of Solid Color Flat Edge Mesh Hat Men Street Dance Hip-Hop Caps Women Fashion Trend Sun Hats</t>
  </si>
  <si>
    <t xml:space="preserve">Nürburgring Nordschleife Unique TShirt F1 Formulate 1 Comfortable Creative Graphic T Shirt</t>
  </si>
  <si>
    <t xml:space="preserve">Charles Leclerc 16 - F1 2022 T-Shirt summer top female cute tops Woman clothes</t>
  </si>
  <si>
    <t xml:space="preserve">F1 Driver Lewis Hamilton Digital 44 Men's Lando Norris New Summer Hot Breathable Polo Shirts Short Sleeve Comfortable Tops</t>
  </si>
  <si>
    <t xml:space="preserve">Uruguay Flag Men T-shirt 3D Print Uruguayan Emblem Graphic Casual Sports Oversized Tops New Fashion Short Sleeve Women T Shirts</t>
  </si>
  <si>
    <t xml:space="preserve">Funny Stack Of Mercedes W124 E Class Men T Shirt Summer Short Sleeve O-neck Cotton Tshirt Youth Car Styling T-shirt Harajuku</t>
  </si>
  <si>
    <t xml:space="preserve">Goldwing GL1500 GL1800 Motorcycle Men's Hoodies Sweatshirts Hoodie Fleece F1 Men Hooded Sweatshirt Male Hoody Man Sweatshirt</t>
  </si>
  <si>
    <t xml:space="preserve">Lewis Hamilton 44 Mens Hoodies XXXL Print · Polyester · Standard 10 sold 3.7</t>
  </si>
  <si>
    <t xml:space="preserve">Ayrton Senna racing graphic short sleeve Shirt unisex men women KTV6503</t>
  </si>
  <si>
    <t xml:space="preserve">350 Grams Retro Acid-Washed 100% Cotton All-In-One Cap Hoodie, High-Quality Loose-Fitting Sports Shirt, Custom Logo</t>
  </si>
  <si>
    <t xml:space="preserve">Circuit Zandvoort F1 Records Baseball Cap Sunhat Anime fishing caps man Luxury Brand Women's Beach Men's</t>
  </si>
  <si>
    <t xml:space="preserve">Lewis the goat Hamilton Baseball Cap dad hat sun caps Military Tactical Cap Men's Women's</t>
  </si>
  <si>
    <t xml:space="preserve">Custom Baseball Cap For Women Men Soft Top Hight Quality Cotton Dad Hats Customize Embroidery Design Text LOGO Name Letter UV blocking cap 9 sold 5</t>
  </si>
  <si>
    <t xml:space="preserve">Top Quality 52mm 57mm Steering Wheel Center Badge Star Logo Car Emblem with 18 Pins for Mercedes Benz C CLA CLS GLC GLE GLS E</t>
  </si>
  <si>
    <t xml:space="preserve">Funny F1 Boss Quote - Guenther Steiner T-Shirt for Men Crew Neck Pure Cotton T Shirts F1 Formula 1 Short Sleeve Tees</t>
  </si>
  <si>
    <t xml:space="preserve">Oversized Tops Summer Top For A Boy Men's t-shirt F1 Decades Black T-Shirt Men Clothing Harajuku Oversized Graphic T Shirts</t>
  </si>
  <si>
    <t xml:space="preserve">2026 Williams Team T-shirt Carlos Sainz Formula One Alex Alben 2026 T-shirt Men Women Kids Fans Shirt 3d Printed T-shirt</t>
  </si>
  <si>
    <t xml:space="preserve">New For Ferrari Monza Limited Edition Replica T-shirt Motorsport Official Hamilton Leclerc Blue Summer Quick Dry</t>
  </si>
  <si>
    <t xml:space="preserve">Double-sided Customize Logo Picture Women T Shirt Summer Comfortable Crop T-Shirt Cotton O-Neck Tee Top Tight Y2K Short Sleeve</t>
  </si>
  <si>
    <t xml:space="preserve">Customized Embroidery Retro Corduroy Short Brim Hat Multicolor Patchwork 5-Panel Cap for Men and Women DIY LOGO Baseball Cap</t>
  </si>
  <si>
    <t xml:space="preserve">Norris No.1 Racing Theme Short-sleeve T-shirt Breathable Sports Top Trendy Print Casual Fan Apparel</t>
  </si>
  <si>
    <t xml:space="preserve">2026 New Racing Car #01 Driver Lando Norris Fan Club Grandstand T-Shirt, Summer Casual Short Sleeve FamilyMatching</t>
  </si>
  <si>
    <t xml:space="preserve">1 X JPS for Lotus F1 Team Printed Baseball Cap, Casual Snapback Hat, Fashionable Outdoor Adjustable Cap, All-Season Travel Hat,</t>
  </si>
  <si>
    <t xml:space="preserve">Lewis Hamilton F1 Car Racing Multicolor Hat Peaked Women's Cap Personalized Visor Sunprotection Hats</t>
  </si>
  <si>
    <t xml:space="preserve">2026 For Ferrari Scuderia Limited Edition Replica Baseball Hat Motorsport Official Hamilton Leclerc Black</t>
  </si>
  <si>
    <t xml:space="preserve">Aston Martin Racing Team Men Polo Shirt Summer Short Sleeve Male Polos T-shirt Fashion outdoor sports breathable Clothing Tops</t>
  </si>
  <si>
    <t xml:space="preserve">I Don't Care If She Got Red Flags I'm A Bull Shirt Funny Meme Tee Trendy Streetwear Graphic T-Shirt Relatable Humorous Men Gift</t>
  </si>
  <si>
    <t xml:space="preserve">Lando Norris LN1 3D Printed Jersey Men's and Women's Summer Sports Breathable Quick Drying Streetwear Clothing Family Kids Tees</t>
  </si>
  <si>
    <t xml:space="preserve">F1 Driver Lewis Hamilton Digital 44 Men's Solid Color Hoodie Autumn High quality Casual comfortable sweatshirt Fleece Pullover</t>
  </si>
  <si>
    <t xml:space="preserve">Fun 3D Printed Mathematical Formula Pattern Hoodie Street Wear men's And women's Fashion Oversize Sports Hoodie Casual men's Top</t>
  </si>
  <si>
    <t xml:space="preserve">M-McLarens Papaya Logo Hoodies Men Women Casual Pullover Sweatshirts Fashion Long Sleeve Hooded Autumn Winter Animal · Polyester · Standard 8 sold 4</t>
  </si>
  <si>
    <t xml:space="preserve">2026 Summer Mens Long Sleeve T Shirt A Racing Fan Theme Chicago 23 Print Men Women Unisex Sweatshirt Tops Pullover Hoodies Polyester · Regular · Formula 1 · Print · Street 8 sold 5</t>
  </si>
  <si>
    <t xml:space="preserve">Custom Text Baseball Cap Embroidered Name Adjustable Visor Comfort‑Fit Outdoor Hat Casual Beach Daily Headwear for Men Women</t>
  </si>
  <si>
    <t xml:space="preserve">Pure Color Dad Hats Benetton Formula Team 80S Collection Men's Hat Sun Visor Baseball Caps Formula 1 F1 Peaked Cap</t>
  </si>
  <si>
    <t xml:space="preserve">Box Box Box Men Pure Color Baseball Hats F1 Sun Visor Caps Peaked Cap</t>
  </si>
  <si>
    <t xml:space="preserve">Summer Cap Sun Visor 33 Design Hip Hop Caps F1 FIA Formula 1 World Championship Cowboy Hat Peaked Hats</t>
  </si>
  <si>
    <t xml:space="preserve">2024 New arrival Charles Leclerc Cotton printed T-shirt F1 Motorsport Training Short sleeve Summer men and women Tees Fashion</t>
  </si>
  <si>
    <t xml:space="preserve">Men's Formula Racing T-Shirt Racing Car Speed Design Short Sleeve Tee Suitable for Car Enthusiasts Men's T-shirts for Summer</t>
  </si>
  <si>
    <t xml:space="preserve">Popular Game Zenless Zone Zero Print T-Shirts 3D Fashion Men/Women Short Sleeve Crew Neck Tee Harajuku Style Streetwear Top</t>
  </si>
  <si>
    <t xml:space="preserve">Ayrton Senna The King of Racing Men's Hoodies Sweatshirts Hoodie Fleece Men Hooded F1 Car Male Hoody Man Sweatshirt</t>
  </si>
  <si>
    <t xml:space="preserve">F1 driver Lewis Hamilton digital 44 Printed Jogging Hoodies+Sweatpants Two Pieces Set Men Tracksuit Pants Set Sportswear Suit Street · Print · Formula 1 · Print · Cotton 7 sold 3</t>
  </si>
  <si>
    <t xml:space="preserve">Women's Custom Personalized Couple Family Photo Cotton T Shirts Soft Loose Casual Short Sleeve Youth Simple Trendy Street Tee</t>
  </si>
  <si>
    <t xml:space="preserve">Michael Schumacher Benetton F1 Car Racing Baseball Cap Men Hats Women Visor Sunprotection Snapback Caps</t>
  </si>
  <si>
    <t xml:space="preserve">Alpine</t>
  </si>
  <si>
    <t xml:space="preserve">F1 Pierre Gasly 10 Baseball Cap Golf sun hat Beach Outing Men Women's</t>
  </si>
  <si>
    <t xml:space="preserve">Lewis Hamilton 44 - F1 Baseball Caps Snapback Fashion Baseball Hats Breathable Casual Casquette Outdoor Unisex Polychromatic</t>
  </si>
  <si>
    <t xml:space="preserve">11 Mexico F1 FIA Formula 1 World Championship Men Baseball Caps Peaked Cap Sun Shade Sunprotection Hat</t>
  </si>
  <si>
    <t xml:space="preserve">F1 Car Race Car 33 Dad Hats Pure Color Women's Hat Windproof Baseball Caps Peaked Cap</t>
  </si>
  <si>
    <t xml:space="preserve">Baseball Cap Outdoor Summer Sports Hat Embroidered Men Women Baseball Cap For Mercedes Benz AMG W212 W204 W211W168 W213 W205</t>
  </si>
  <si>
    <t xml:space="preserve">Car Duck Tongue Cap For Mercedes benz 3D Hat Car MOTO GP Racing F1 Baseball Cap Hat Adjustable Casual Trucket Hat hip hop</t>
  </si>
  <si>
    <t xml:space="preserve">Aston Martins 2023 Curved Brim Baseball Cap Seaside Vacation Sport Cap</t>
  </si>
  <si>
    <t xml:space="preserve">Camiseta McLaren Racing Lando Norris | Ropa deportiva transpirable edición 2026 NO.4 | Top de manga corta inspirado en</t>
  </si>
  <si>
    <t xml:space="preserve">Male Tees Home Race Oscarr Piastri Design T-shirt Graphic Design Printing Tshirts O-neck Summer Short Sleeve Unisex T Shirt Mens</t>
  </si>
  <si>
    <t xml:space="preserve">2026 New Game Zenless Zone Zero 3D T-Shirts Fashion Unisex Personality Anime T Shirt Summer Cool Street Short Sleeve Tee Y2k Top</t>
  </si>
  <si>
    <t xml:space="preserve">Oversized Hoodie Tops For A Boy F1 Decades Black fashion Streetwear Unisex Men Clothing Harajuku Graphic Pullover Sweatshirt</t>
  </si>
  <si>
    <t xml:space="preserve">Lando Norris F1 Men Women Signature Hoodie Formula 1 Fashion Streetwear Comfortable Hooded Sweatshirt for F1 Fans 2026 Seasion</t>
  </si>
  <si>
    <t xml:space="preserve">Transalp Style 650 XL700V Motorcycle Men's Hooded Jacquard F1 Hondaes Sweatshirt Outwear Men's Hoodies Hoodie Men Sweatshirt</t>
  </si>
  <si>
    <t xml:space="preserve">2023 Ayrton Senna Helmet Formula One Brasil Legend Driver Pilot Fashion Men Clothing Graphic Hoodie Street Couple Hoodie Cartoon · Polyester 6 sold 5</t>
  </si>
  <si>
    <t xml:space="preserve">Hip hop retro men's tracksuit Hoodie Ayrton Senna print High-end luxury outdoor sports adventure men's hoodie sweatshirt Cotton · Slim · Formula 1 · Print · Street 6 sold 5</t>
  </si>
  <si>
    <t xml:space="preserve">Outdoor Washed Denim 3D Embroidery Broken Hole Baseball Cap Custom Logo Baseball Cap Sunscreen Sunshade Duck Tongue Cap</t>
  </si>
  <si>
    <t xml:space="preserve">Custom Washed mesh Cotton Embroidered Baseball Cap for Men DIY Logo Men's Hat with Embroidery Print Text Letters</t>
  </si>
  <si>
    <t xml:space="preserve">2025 Lewis Hamilton Digital 44 Printing Men's New Summer Cotton Breathable Polo Shirt Casual Solid Color Fashion Tops</t>
  </si>
  <si>
    <t xml:space="preserve">Personalized Customized I Love Text Couple Fashion All-Match Basics Hoodie Casual Fleece Street Clothing Mens Sport Daily Tops</t>
  </si>
  <si>
    <t xml:space="preserve">33 Design F1 FIA Formula 1 World Championship Washed Men's Baseball Cap Sunprotection Trucker Snapback Caps Dad Hat Golf Hats</t>
  </si>
  <si>
    <t xml:space="preserve">F1 Car Racing Lewis Hamilton 44 Still We Rise Racerback Dad Hats Pure Color Women's Hat Sunprotection Baseball Caps Peaked Cap</t>
  </si>
  <si>
    <t xml:space="preserve">Retro Formula One Racing Baseball Cap Distressed Denim Snapback Hat Fernando Alonso Outdoor Activities Hats Cap</t>
  </si>
  <si>
    <t xml:space="preserve">Charles Leclerc F1 Bucket Hat Panama Bob Hats Outdoor Hip Hop Autumn For Summer Beach Fishing Unisex Fisherman Caps</t>
  </si>
  <si>
    <t xml:space="preserve">2026 New Hip Hop Skateboarding Hat Bull Embroidered Truck Hat Outdoor Daily Decoration Sunshade Hat Unisex Baseball Hat Mesh Hat Outdoor · Sun Protection · Polyester · Women · Four</t>
  </si>
  <si>
    <t xml:space="preserve">Ayrton Senna T-Shirt F1 Mens Driver Brazil Brazilian Car Motorsport Unisex Tee Men Clothes Tee Shirt</t>
  </si>
  <si>
    <t xml:space="preserve">Senninha Ayrton Senna Cartoon Legend T-Shirt Streetwear F1 Car Short Sleeved TShirt Men Women T Shirt</t>
  </si>
  <si>
    <t xml:space="preserve">SENNA POLO shirt 2024 Fashion Men T Shirt Casual Ayrton Senna Brazilian Formula 1 Legend T-shirt Signature men's T-shirt</t>
  </si>
  <si>
    <t xml:space="preserve">2026 Outdoor Extreme Sports Enthusiast NORRIS 4 Followers Racing Race T-shirt Hot Selling Quick Drying Breathable Short Sleeved</t>
  </si>
  <si>
    <t xml:space="preserve">Casual Ayrton Senna Men'S Hooded Sweatshirt Brazilian Formula 1 Zip Hooded Sweatshirt Men Clothing F1 Sportswear Slim Fit Jacket</t>
  </si>
  <si>
    <t xml:space="preserve">F1 Sweatshirts Mens Cartoon Graphic Hoodies Men Kpop Long Sleeve Game Streetwear Women Y2K Clothes Moletom Cool Clothing Unisex</t>
  </si>
  <si>
    <t xml:space="preserve">All Saints' Day Fashion Women's Hoodie For Girls Autumn Long Sleeve Casual Sexy Girls Clothes Horror Undead Skull Pattern Tops</t>
  </si>
  <si>
    <t xml:space="preserve">Motorcycle One World One Varadero Men's Hoodies Sweatshirts Jacquard Hondaes Fleece Men Hooded F1 Hoody Man Sweatshirt</t>
  </si>
  <si>
    <t xml:space="preserve">Diy Logo Flat Sport Mesh Trucker Cap Custom embroidery Logo 112 Baseball Caps for Men Casquette Gorras</t>
  </si>
  <si>
    <t xml:space="preserve">Men's Autumn/Winter New Solid Color Hoodie + Pants Two-Piece Set, Stylish Casual Sports Suit with Custom Printed Logo</t>
  </si>
  <si>
    <t xml:space="preserve">Custom New Terrorist Special Forces Men Hoodie Cotton Hoody Sweatshirt Oversize Streetwear zipper</t>
  </si>
  <si>
    <t xml:space="preserve">Lando Norris The Baseball Cap Unisex Outdoor Custom Formula 1 Hats men summer sports Mesh Breathable Trucker racing hat</t>
  </si>
  <si>
    <t xml:space="preserve">F1 Lando Norris 4 Baseball Cap Mountaineering Luxury Hat fun hats Men's Luxury Women's</t>
  </si>
  <si>
    <t xml:space="preserve">Leave Me Alone Kimi Raikkonen Racer F1 Car Racing Washed Men's Baseball Cap Cycling Trucker Snapback Caps Dad Hat Golf Hats</t>
  </si>
  <si>
    <t xml:space="preserve">1 pc FORMULA Printed Baseball Cap, Stylish Trendy Classic Soft Sweatband Adjustable Size</t>
  </si>
  <si>
    <t xml:space="preserve">Lewis Hamilton 44 Baseball Cap Sports Cap Streetwear Trucker Cap Women's Beach Outlet Men's</t>
  </si>
  <si>
    <t xml:space="preserve">For Ferrari Scuderia Monza Limited Edition Replica Baseball Hat Motorsport Official Hamilton Leclerc Blue Summer</t>
  </si>
  <si>
    <t xml:space="preserve">Race Car Hipster Polyester TShirts F1 Formulate 1 Racing Momen Graphic Streetwear T Shirt O Neck</t>
  </si>
  <si>
    <t xml:space="preserve">New Formula 1 Racing Legends T-Shirt sweat shirt plain t shirts men</t>
  </si>
  <si>
    <t xml:space="preserve">Motorsport Formel 1 Grand Prix Niki Lauda Legende Rip Vintage Oversized T-Shirt 3BWH</t>
  </si>
  <si>
    <t xml:space="preserve">Grand Prix F1 2022 T Shirts Men Pure Cotton Funny T-Shirts Round Collar F1 Formula 1 Tee Shirt Short Sleeve Clothing Adult</t>
  </si>
  <si>
    <t xml:space="preserve">Barry Sheene 7 Driver Fans Men T-shirt Summer Short Sleeve Sports Male Clothes Tee Tops Men's T Shirts</t>
  </si>
  <si>
    <t xml:space="preserve">Customize Tee Unisex Personalized T-Shirts Add Your Own Logo Photo or Text Shirt Personalized Gift 100% Cotton Short Sleeve Tees</t>
  </si>
  <si>
    <t xml:space="preserve">Spain Bull Graphic T Shirt for Men T-shirt Fashion 3D San Fermín Bullfight Printed Tee Shirts Womens Clothing Kids Short Sleeve</t>
  </si>
  <si>
    <t xml:space="preserve">Spain ESPANA 2026 Jersey Men Red Blue Gold Bull Graphic Soccer Shirt Vintage Style Short Sleeve Fan Sportswear Casual Top Gift</t>
  </si>
  <si>
    <t xml:space="preserve">Bull’s Kim Huybrechts Match Shirt Darts shirt Sports Dry Quickly Men's T-Shirt Children's Clothing Tee Top Y2k Woman</t>
  </si>
  <si>
    <t xml:space="preserve">2026 Oscar Piastri 81 Orange Team Replica Team T-Shirt Norris Quick Drying Short Sleeve Sports Casual T-Shirts 6XLFamilyMatching</t>
  </si>
  <si>
    <t xml:space="preserve">Haas F1 Team Logo Hoodies Men's Women Casual Pullover Sweatshirt Fashion Long Sleeve Hooded Autumn Winter</t>
  </si>
  <si>
    <t xml:space="preserve">F1 Team Racing Fans Hoodie Formula One Racer Lando Norris Sweatshirt Men Women Vintage Pullover Cotton Unisex Coat</t>
  </si>
  <si>
    <t xml:space="preserve">Formula Racing Car Turbo Sports Car Race Fan Pullover Hoodie Print on Demand Hoodies Funny Tops Unisex Autumn Streetwear Tops Cartoon · Polyester 4 sold 5</t>
  </si>
  <si>
    <t xml:space="preserve">2026 Lando Norris Fall/Winter 2025 New Collection: The Perfect Combination of Racing Style Hoodies and Extreme Sports Clothes 4 sold 5</t>
  </si>
  <si>
    <t xml:space="preserve">Vintage Fashion Gradient Baseball Cap Custom Logo Embroidery Outdoor Sunscreen Washed Cotton Hip Hop Duck Tongue Cap</t>
  </si>
  <si>
    <t xml:space="preserve">Custom T-shirt Design Your Own Text Logo Image Printed Tshirt DIY Cotton Short Sleeve Men Women Personalized T Shirt Gifts Tees</t>
  </si>
  <si>
    <t xml:space="preserve">Custom Logos Print Embroidery New Spring Autumn Thin Pullover Hoodie Unisex High Quality Casual Tops Men Women Text Sweatshirt</t>
  </si>
  <si>
    <t xml:space="preserve">Pure Color Dad Hats Martini Racing Men's Hat Sun Visor Baseball Caps Formula 1 F1 Peaked Cap</t>
  </si>
  <si>
    <t xml:space="preserve">Lewis Hamilton 44 - F1 Baseball Caps Snapback Washed Denim Hats Outdoor Adjustable Casquette Sports Baseball Cowboy Hat Unisex</t>
  </si>
  <si>
    <t xml:space="preserve">Shoey Baseball Cap F1 Vintage Baseball Hats Men Outdoor Adjustable Dad Hats Cap</t>
  </si>
  <si>
    <t xml:space="preserve">Hamilton 44 F1 Car Race Washed Men's Baseball Cap Windproof Trucker Snapback Caps Dad Hat Golf Hats</t>
  </si>
  <si>
    <t xml:space="preserve">Charles Leclerc Nothing but an Incident (Incident) Meme F1 Sticker T-Shirt for a boy sweat big and tall t shirts for men</t>
  </si>
  <si>
    <t xml:space="preserve">F1 Decades Black Classic T-Shirt oversized graphic tee shirts graphic vintage anime shirt boys animal print vintage t shirt men</t>
  </si>
  <si>
    <t xml:space="preserve">Sebastian Vettel F1 2021 V5 Logo (Green) Vettel Gift Classic T-Shirt hippie clothes basketball graphic tees men t shirts</t>
  </si>
  <si>
    <t xml:space="preserve">Racing F1 Print Simple High Quality Trend Short Sleeve T-shirt Men and Women Loose Cotton Round Collar Trend Brand Top Summer</t>
  </si>
  <si>
    <t xml:space="preserve">Vintage Lando Norris F1 Racer Collage Portrait Graphic Cotton Unisex Motorsport Fan Tee Shirt</t>
  </si>
  <si>
    <t xml:space="preserve">The Legend Ayrton Senna Men's Formula Fans T Shirt with Helmet Print Design vintage Washed Stretched streetwear Stylish</t>
  </si>
  <si>
    <t xml:space="preserve">Box Box Box F1 Tyre Compound F1 Formula 1 T Shirt Graphic Crewneck TShirt Polyester Short Sleeve</t>
  </si>
  <si>
    <t xml:space="preserve">2026 New Red Racing #44 Jersey Shirt Lewis Driver Fan Top Wing Signature Graphic Tee Motorsport Men Women</t>
  </si>
  <si>
    <t xml:space="preserve">Customized Off Road Racing Jersey With Your Name Number And Diy Sleeve Text Modern Geometric Gradient Design Long Sleeve T Shirt</t>
  </si>
  <si>
    <t xml:space="preserve">Men's Bull Printed Tight T-shirt Sports Quick Drying T-shirt Top Summer Short Sleeve Anti Sports Underwear</t>
  </si>
  <si>
    <t xml:space="preserve">Custom Face T-shirts for Men Full Print Personalized Diy Face Photo Tshirt Custom Picture Short Sleeve Round Neck Tee Shirt 2026</t>
  </si>
  <si>
    <t xml:space="preserve">Men Autumn Winter Hoodie Formula‑1 Racing Car Graphic Print Streetwear Sweatshirt Loose, Warm and Comfortable</t>
  </si>
  <si>
    <t xml:space="preserve">F1 driver Lewis Hamilton digital 44 Print Spring Autumn Men Shirt Cotton Hoodies Solid Color Pullover Sweater Hight Quality Tops</t>
  </si>
  <si>
    <t xml:space="preserve">Game Zenless Zone Zero Cosplay Hoodies 3D Print Anime Sweatshirt Men/Women Long Sleeve Tracksuit Pullovers Hoodie Y2k Coat</t>
  </si>
  <si>
    <t xml:space="preserve">Custom Embroidery Washed Hole Color Hat for Men and Women Baseball Caps Wholesale DIY Design Print Japanese Retro Style</t>
  </si>
  <si>
    <t xml:space="preserve">Custom Logo Embroidery Camouflage Hat for Men and Women Baseball Hats Wholesale Design Print Outdoor Sport Travel Sunscreen Hat</t>
  </si>
  <si>
    <t xml:space="preserve">Custom-Made Men's T-Shirts Are Suitable For Team Gatherings, Gyms, And Sports Cotton Round-Neck Short-Sleeved Shirts</t>
  </si>
  <si>
    <t xml:space="preserve">Custom Customized Print Short Sleeve T Shirt Women Tops Tees DIY Your Like Photo Or Logo Cotton T-Shirt Men Clothing</t>
  </si>
  <si>
    <t xml:space="preserve">Men's Formula Racing Summer T-Shirt, loose fit, made of soft highly breathable fabric, suitable for daily wear</t>
  </si>
  <si>
    <t xml:space="preserve">Cool Racing Graphic T-Shirts Motorcycle 3D Print Men's Short Sleeve O-Neck T Shirt Oversized Hip-Hop Tees Harajuku Tops Clothing</t>
  </si>
  <si>
    <t xml:space="preserve">33 Men Pure Color Baseball Hats F1 Sun Visor Caps Peaked Cap</t>
  </si>
  <si>
    <t xml:space="preserve">2026 Custom Brand LOGO Personality DIY Print Trucker Hat Net Baseball Cap Men Women Blank Mesh Adjustable Sun Hat Visor</t>
  </si>
  <si>
    <t xml:space="preserve">New Aston Martin Man Printing Motorcycle Hoodie Spring Fashion Lady Outdoor Hooded Sweatshirt Multi-pocket Zipper Coat</t>
  </si>
  <si>
    <t xml:space="preserve">Onyx F1 T-Shirt sports fans anime figures men clothes</t>
  </si>
  <si>
    <t xml:space="preserve">Ayrton Senna Lewis Hamilton Worn Style Formula One Racing Vintage 90s Bootleg Unisex T-Shirt, Racing Grand Prix F1 Tee</t>
  </si>
  <si>
    <t xml:space="preserve">Audi Sport Racing Team T-shirt, Racing Driver Printed T-shirt, Racing Team Short-sleeved Fan Loose and Comfortable T-shirt</t>
  </si>
  <si>
    <t xml:space="preserve">Nürburgring Nordschleife Harajuku Polyester TShirt F1 Formulate 1 Racing Printing Streetwear Comfortable T Shirt Female</t>
  </si>
  <si>
    <t xml:space="preserve">F1 Driver Lando Norris 4 T-Shirt summer top Tee shirt Oversized t-shirt sublime t shirt t shirts for men pack</t>
  </si>
  <si>
    <t xml:space="preserve">Army of Darkness T-Shirt, Ash Williams Vintage Graphic Tee</t>
  </si>
  <si>
    <t xml:space="preserve">F1 Driver Lewis Hamilton Digital 44 Men's Brand Solid Color Round Neck Casual Short Sleeve T-Shirt Clothing New Summer Tops</t>
  </si>
  <si>
    <t xml:space="preserve">2022 New Man's F1 Driver Lewis Hamilton Digital 44 Logo Print T-Shirt Summer Male Breathable Streetwear Classic Short Sleeve Top</t>
  </si>
  <si>
    <t xml:space="preserve">Certified Racist Meme Racing T Shirt for Men Cotton Formula Racer Car Graphic Bootleg Style Casual Short Sleeve Black 2026</t>
  </si>
  <si>
    <t xml:space="preserve">Benetton Formula 1 Racing Team T-Shirt boys animal print sports fans graphic shirts heavyweights tee shirts for men</t>
  </si>
  <si>
    <t xml:space="preserve">Lewis Hamilton Shirt Formula Racing Driver British Championship Fans Tshirt cotton vintage hiphop tee P12</t>
  </si>
  <si>
    <t xml:space="preserve">Jochen Rindt, Formula 1, Formel 1 T-Shirt for a boy korean fashion tops summer top shirts men</t>
  </si>
  <si>
    <t xml:space="preserve">Cotton T-Shirt Michael Schumacher Retro T Shirt</t>
  </si>
  <si>
    <t xml:space="preserve">For Ferrari T-Shirt Racing Hamilton Leclerc Official Team Motorsport Men's White Red Summer Quick Dry</t>
  </si>
  <si>
    <t xml:space="preserve">F1 2022 Carlos Sainz 55 T-Shirt Blouse boys whites graphics anime tshirt plain t shirts men</t>
  </si>
  <si>
    <t xml:space="preserve">100% Cotton Reggae Bless Up Reggae Music Lover Rastafarian Jamaica T-Shirt Men's Black Vacation Crew Neck Short Sleeve Holiday T</t>
  </si>
  <si>
    <t xml:space="preserve">Vintage Car Print T-Shirt, Crew Neck, Medium Stretch Knit Fabric, Casual Sports Style, Spring/Summer Top, 180g/M² - Red,Breathable And Comfortable Short-Sleeved Round-Neck Top, Sui</t>
  </si>
  <si>
    <t xml:space="preserve">McLaren Lando Norris 2026 Racing Style Men's T-Shirt Summer Outdoor Sports QuickDrying Breathable Classic F1 Enthusiast Creation</t>
  </si>
  <si>
    <t xml:space="preserve">Adidas genuine Mercedes AMG Petronas F1 team men's T-shirt KE8165</t>
  </si>
  <si>
    <t xml:space="preserve">For Mercedes Benz V Class Marco Polo Metris W447 2016 2017 2018 2019 2020 2021 2022 Steering Wheel Carbon Fiber Paddle Shifter</t>
  </si>
  <si>
    <t xml:space="preserve">Racing Ayrton Senna Hall of Fame Car Men Hooded Sweatshirt Jacket Zipper Sweatshirt Coat Sportswear Male F1 Cardigan Sweatshirts</t>
  </si>
  <si>
    <t xml:space="preserve">Suzuki GSX R Logo Motorcycle Racing Team 2026 New Men's Half Zipper Hoodie and Pants Set Men's Sportswear Women's Set</t>
  </si>
  <si>
    <t xml:space="preserve">DIY Design Letter Embroidery Hat Customize Cap Baseball Cap Custom Logo Name Embroidery Duck Tongue Cap Breathable Sunshade Cap</t>
  </si>
  <si>
    <t xml:space="preserve">Custom Embroidery Corduroy Hats Men and Women Baseball Cap Wholesale DIY Design Print Outdoor Activity Equipment Windproof Hat</t>
  </si>
  <si>
    <t xml:space="preserve">gym quick-dry cap waterproof baseball cap custom logo print design embroidery premium men women Fitness sports breathable hats</t>
  </si>
  <si>
    <t xml:space="preserve">Custom For Him Your Own Logo Summer Tshirt Photo Customized Here Short Sleeve Cotton T-shirt Personalized O-neck Tees T Shirt</t>
  </si>
  <si>
    <t xml:space="preserve">High-performance Fuel Peripheral Printed Short-sleeved Men's and Women's T-shirts for The Oil F1 Racing Team, Pure Cotton Summer</t>
  </si>
  <si>
    <t xml:space="preserve">Williams Team T-shirt Carlos Sainz F1 Alex Alben 2026 Summer Fan Breathable Quick Drying 3 T-shirt D Printed Family T-shirt</t>
  </si>
  <si>
    <t xml:space="preserve">2026 New Formula Racing Driver 30th Anniversary T-shirt for Fashion, Extreme Sports, Fun Short Sleeve Breathable Large Top S-6XL</t>
  </si>
  <si>
    <t xml:space="preserve">Bull Riding Sports Men's T-Shirt 3D Print Graphic Short Sleeve Round Neck T Shirts Fashion Casual 2024 Unique Design Tee Shirts</t>
  </si>
  <si>
    <t xml:space="preserve">CAAYU Summer 280gsm Cotton Mens T-shirt Short-sleeve Man T Shirt Short Sleeve Pure Color Clothing T Shirts Tops Tee Men Clothing</t>
  </si>
  <si>
    <t xml:space="preserve">Personalized Couple Photo Custom Mens Hoodie Comfy Fleece Basics Pullovers Street Sport Daily Clothing All-Match Casual Tops</t>
  </si>
  <si>
    <t xml:space="preserve">Customized Autumn and Winter Mens Hot Printed Hoodie Zipper Sweatshirt Hooded Jacket Outwear Tops Coat</t>
  </si>
  <si>
    <t xml:space="preserve">Customized Sweatshirts Custom Hoodie Overalls Brand Design Unisex Working Clothes Oversize Sweatshirt Logo Print Anime Pullover</t>
  </si>
  <si>
    <t xml:space="preserve">Michael Schumacher helmet F1 legend Baseball Cap Golf Cap Vintage hats on offer Woman Men's</t>
  </si>
  <si>
    <t xml:space="preserve">“Valtteri Racing Sports, F1 Art Design” Mesh Baseball Cap</t>
  </si>
  <si>
    <t xml:space="preserve">Red 44 Men Pure Color Baseball Hats F1 Sun Visor Caps Peaked Cap</t>
  </si>
  <si>
    <t xml:space="preserve">Valtteri Bottas signature - F1 2023 Baseball Cap Cosplay Sun Hat For Children Men Hats Women's</t>
  </si>
  <si>
    <t xml:space="preserve">Hesketh Racing Vintage British F1 Dad hat/cap</t>
  </si>
  <si>
    <t xml:space="preserve">MW 2 II Rohan Racing Logo from Crown Raceway F1 Map - High Resolution - T Shirt Baseball Cap tactical cap Men Women's</t>
  </si>
  <si>
    <t xml:space="preserve">Simply lovely - MV F1 Baseball Cap sun hat fishing caps man Snapback Cap Women's Golf Clothing Men's</t>
  </si>
  <si>
    <t xml:space="preserve">1 pc FORMULA Print Washed Baseball Cap, Classic Casual Stylish Vintage Soft Sweatband Adjustable Size Lightweight</t>
  </si>
  <si>
    <t xml:space="preserve">Quick Dry Ultra-Light Breathable Mesh Baseball Cap Custom LOGO Outdoor Sports Sun Protection Mountain Climbing Hat for Summer Sports · Sun Protection · Tourism · Outdoor · Unisex 1</t>
  </si>
  <si>
    <t xml:space="preserve">4Pcs Aluminum Car Styling Wheel Tire Valve Caps Dust Cover Hubcap For Mercedes Benz AMG GLC GLE CLA GLK W204 W205 W206 W211 W212</t>
  </si>
  <si>
    <t xml:space="preserve">Jacques Villeneuve - Williams F1 graffiti painting by DRAutoArt T-Shirt vintage boys animal print slim fit t shirts for men</t>
  </si>
  <si>
    <t xml:space="preserve">Charles Leclerc 16 F1 2022 T-Shirt plus size clothes shirts graphic tees man clothes compression shirt men</t>
  </si>
  <si>
    <t xml:space="preserve">F1 Valtteri Bottas To Whom It May Concern FK You! T-Shirt oversizeds kawaii clothes sublime blanks T-shirt men</t>
  </si>
  <si>
    <t xml:space="preserve">F1 Formulate 1 Racing Polyester TShirt for Women 1950 Soft Summer Sweatshirts T Shirt Novelty Trendy</t>
  </si>
  <si>
    <t xml:space="preserve">Senna MP4_6 F1 Car T-Shirt men t shirt cotton 100% t shirt man plain T-Shirt</t>
  </si>
  <si>
    <t xml:space="preserve">F1 Formulate 1 Racing Polyester TShirt for Women Eat Sleep Race Repeat Basic Casual Sweatshirts T Shirt</t>
  </si>
  <si>
    <t xml:space="preserve">F1 Sergio Pérez 11 T-Shirt t shirts designer man t shirts graphic funny t shirts cotton T-Shirt</t>
  </si>
  <si>
    <t xml:space="preserve">F1 Race Tracks T-Shirt custom t shirt funny meme t-shirts shirts graphic shirts men</t>
  </si>
  <si>
    <t xml:space="preserve">New 2025 yaer Carlos Sainz Formula 1 Racing Number and Car t shirt men sleeve shirt</t>
  </si>
  <si>
    <t xml:space="preserve">Motorsport Formel 1 Grand Prix Niki Lauda Legende Rip Vintage Oversized T-Shirt M4SY</t>
  </si>
  <si>
    <t xml:space="preserve">2026 Now Men Short‑Sleeve T‑Shirt F1 Racing Car Outline Print Loose Fit, Summer Street Trend, Urban Vacation Couple Gift</t>
  </si>
  <si>
    <t xml:space="preserve">Race Week Special TShirt F1 Formulate 1 Comfortable Creative Graphic T Shirt</t>
  </si>
  <si>
    <t xml:space="preserve">Funny Happy Grey Classic Fit Short Sleeve T-Shirt for Formula 1 Fans - Small Custom Printed Graphic Customizable Camisas</t>
  </si>
  <si>
    <t xml:space="preserve">Retro Formula Racing Car T-Shirt Vintage Race Car Silhouette with 70-Year Round Neck Casual Tee Machine Washable Gift</t>
  </si>
  <si>
    <t xml:space="preserve">funny meme Fih dih is calling Men's T Shirt Women Tee Spring Summer Humor Novelty Ironic Humor Weirdcor Sarcastic Hilarious Top</t>
  </si>
  <si>
    <t xml:space="preserve">For Ferrari Leclerc Special Edition T-shirt Carlos Sainz Italian Monza GP Black Round Neck</t>
  </si>
  <si>
    <t xml:space="preserve">Barry Sheene 7 Driver Fans Men Long Sleeve T-shirt Summer Short Sleeve Sports Male Clothes Tee Tops Men's T Shirts</t>
  </si>
  <si>
    <t xml:space="preserve">Women's Sagittarius Zodiac T Shirt 180gsm Heavyweight Black Casual Round Neck Short Sleeve with Sagittarius Woman Graphic &amp; Traits Available Birthday Christmas Halloween Gift FoEve</t>
  </si>
  <si>
    <t xml:space="preserve">Just A Boy Who Loves Ramen And Gaming T-Shirt - Cool Black Tee Featuring Bold White and Red Graphics, Playful Design with Ramen Bowl, Chopsticks, and Headphones - Perfect for Gamer</t>
  </si>
  <si>
    <t xml:space="preserve">2026 New Men's Slim Fit Polo Shirt with Bull Graphic Print, Ribbed Collar Striped Trim, Casual &amp; Sports T-Shirt</t>
  </si>
  <si>
    <t xml:space="preserve">2026 Retro ESPANA Red Football Jersey Bull Print Golden Trim Quick Dry Breathable Unisex Sport Tee for Men Women Kids</t>
  </si>
  <si>
    <t xml:space="preserve">For HONDA Bull Racing Drivers MAX Car Enthusiast Sport POLO Shirt Lapels Button Summer Breathable Quick-Dry Not Fade</t>
  </si>
  <si>
    <t xml:space="preserve">Spain Champions Again Men's Football Jersey Crew Neck Short Sleeve Red Gold Bull Graphic Fan Shirt Casual Summer Sports Top Wear</t>
  </si>
  <si>
    <t xml:space="preserve">2026 LN1 Lando Norris 3D T‑Shirt McLaren Racing Commemorative Breathable Custom Signature Fan Casual Streetwear Short Sleeve Tee</t>
  </si>
  <si>
    <t xml:space="preserve">Men's 2026 McLaren Lando Norris No.4/81 Race Suit Style T-Shirt Quick-Dry Breathable Classic F1 Fan Design for Daily Outdoor Wea</t>
  </si>
  <si>
    <t xml:space="preserve">Racing Helmet Graphic Hoodie Vintage Formula 1 Driver Signature Print Hooded Sweatshirt Unisex Motorsport Fan Oversized Pullover</t>
  </si>
  <si>
    <t xml:space="preserve">Enjoy the Madness Hoodie — Double Print Design, Front Handwritten Brush-Style Lettering, Back Skateboard Bear cartoon Illustration; Unisex Oversized Hoodie, Sohochic</t>
  </si>
  <si>
    <t xml:space="preserve">Men 3D Print Piastri #81 Racing Fan Hoodie, F1 Inspired Long Sleeve Pullover, Streetwear Sports Sweatshirt</t>
  </si>
  <si>
    <t xml:space="preserve">Zipper Hoodies Men HERO F1 AYRTON SENNA Printed Mens Hoodie Fleece Long Sleeve Man's Jacket Coat Sweatshirt Fitness Tracksuit</t>
  </si>
  <si>
    <t xml:space="preserve">Africa Twin Crf Motocycles Hoodies Jacket Cardigan Zipper Fashion Motorcycle Hondaes Tide Jacquard F1 Hoodies Jacket Sweatshirts</t>
  </si>
  <si>
    <t xml:space="preserve">Suzuki Hayabusa 1300 Logo Motorcycle Racing Team 2026 New Men's Half Zipper Hoodie and Pants Set Men's Sportswear Women's Set</t>
  </si>
  <si>
    <t xml:space="preserve">Alpine Hoodies Long Sleeve Alpine One Race Racing Car Ocon Sports Fernando A110 2021 Fia French Polyester · Regular · Formula 1 · Print · Street 1 sold 5</t>
  </si>
  <si>
    <t xml:space="preserve">men autumn crew neck brand sweatshirt Ayrton Senna hoodie Senna unisex fashion cotton hoody men casual printing hoodies Polyester · Regular · Formula 1 · Print · Street 1 sold 5</t>
  </si>
  <si>
    <t xml:space="preserve">love heart DIY Design Letter Embroidery Hat Customize Cap Baseball Cap Logo Name Embroidery Duck Tongue Cap Breathable Sunshade</t>
  </si>
  <si>
    <t xml:space="preserve">Hamilton 44 Racing Jersey Red Long Sleeve Motorsport Graphic Shirt Formula Driver Fan Top Men Women Streetwear Gift</t>
  </si>
  <si>
    <t xml:space="preserve">Vintage Cartoon Character Speed Racing Graphic T-shirt SPEED RACER Mach 5 Speed Racer Animation Summer Back Print Trendy Fashion</t>
  </si>
  <si>
    <t xml:space="preserve">2026 Kimi Antonelli F1 Retro Pure Cotton T-shirt: Racing Driver Vintage Style Fan Gift Champion Surrounding Comfortable Quality</t>
  </si>
  <si>
    <t xml:space="preserve">Men 3D Print Racing T-Shirt, Lando Norris #4 Fan Short Sleeve Tee, Quick Dry Sports Top For F1 Supporter</t>
  </si>
  <si>
    <t xml:space="preserve">Women's Fashionable Formula One Racing Car Graphic Printed T-shirts Short Sleeve Crew Neck Casual Top Summer Breathable Tee</t>
  </si>
  <si>
    <t xml:space="preserve">DIY Custom Logo Hoodie Men Women Personalized Printed Pullover Sweatshirt Solid Color Casual Streetwear Custom Gift</t>
  </si>
  <si>
    <t xml:space="preserve">Men Custom Logo Fleece Hoodie Autumn Winter DIY Print Text Hooded Sweatshirt Male Street Style Custom Pullover Loose Sweatshirt</t>
  </si>
  <si>
    <t xml:space="preserve">Customize Oversize Zipper Hoodie Heavy Weight Cotton Acid Washed Hoodies Brand Custom Logo Design Print On Demand Dropshipping</t>
  </si>
  <si>
    <t xml:space="preserve">DIY Design Oversize Hoodies Women Fashion Customized Printed Loose Long Sleeve Shoulder Drop Cuff Sweathsirts Pullovers Sudadera</t>
  </si>
  <si>
    <t xml:space="preserve">Lemon Basket Freshness Pattern Baseball Cap Adjustable Cotton Baseball Hat for Sports, Outdoor, Travel Gifts for Men</t>
  </si>
  <si>
    <t xml:space="preserve">Formula Racing Washed Baseball Cap Adjustable Buckle Lightweight Breathable Unisex Daily Commuting Travel Gift</t>
  </si>
  <si>
    <t xml:space="preserve">Uruguay Flat Brimmed Cap Custom Made Name Team Logo Hip-hop Hat Country Travel Spanish Nation Uruguayan Flag Headgear</t>
  </si>
  <si>
    <t xml:space="preserve">F1 LEC Charles Leclerc 2022 Baseball Cap Thermal Visor Rugby For Women 2025 Men's</t>
  </si>
  <si>
    <t xml:space="preserve">Puma F1 McLaren Joint Norris Visor Cap Cap Baseball Cap 027472-01</t>
  </si>
  <si>
    <t xml:space="preserve">Puma Alonso The Same | Aston Martin F1 Replica Fan Version Baseball Cap 026928-01</t>
  </si>
  <si>
    <t xml:space="preserve">Guanyu Zhou F1 Baseball Cap Luxury Brand Trucker Cap cute Baseball Men Women's</t>
  </si>
  <si>
    <t xml:space="preserve">F1 Dev Nyck de Vries 2023 Baseball Cap Beach western Hat Hood New In The Hat Men Hats Women's</t>
  </si>
  <si>
    <t xml:space="preserve">Fashion O Piastri F1 Car helmet Curved Brim Baseball Cap City Roaming Women's Cap 2021</t>
  </si>
  <si>
    <t xml:space="preserve">New Race day f1 Baseball Cap fishing caps man tea Hat sun Women's Beach Men's</t>
  </si>
  <si>
    <t xml:space="preserve">Carlos Sainz Jr F1 Signature Graphic - Dark Baseball Caps Snapback Baseball Hats Breathable Casual Casquette Outdoor for Unisex</t>
  </si>
  <si>
    <t xml:space="preserve">Fashion Oscar Piastri F1 Curved Brim Baseball Cap Sunshade Sun Visor Ladies</t>
  </si>
  <si>
    <t xml:space="preserve">F1 Tracks 2023 Cap Fashion Casual Baseball Caps Adjustable Hat Hip Hop Summer Unisex Baseball Hats Customizable Polychromatic</t>
  </si>
  <si>
    <t xml:space="preserve">New F1 Aston Martin Racing Team Fan Hat Baseball Cap with Curved Brim and Slanted Top - Suitable for Both Men and Women</t>
  </si>
  <si>
    <t xml:space="preserve">Formula One Legend Baseball Cap Men Hats Women Visor Protection Snapback AYRTON SENNA Caps</t>
  </si>
  <si>
    <t xml:space="preserve">New Motorsport - themed Art 'Suzuka Japan Grand Prix' with Formula 1 Car for Racing cultural Design Mesh Baseball Cap</t>
  </si>
  <si>
    <t xml:space="preserve">New Formula Racing Cars 2023 Baseball Cap Hip Hop Sun Hat For Children hiking hat Big Size Hat Male Women's</t>
  </si>
  <si>
    <t xml:space="preserve">Formula Racing Cars 2023 Cap Casual Mesh Baseball Caps Adjustable Hat Hip Hop Summer Unisex Baseball Hats</t>
  </si>
  <si>
    <t xml:space="preserve">F1 2018 - #16 Leclerc Skullies Beanies Hats Warm Autumn Winter Outdoor Cap Knitted Bonnet Caps for Unisex Adult</t>
  </si>
  <si>
    <t xml:space="preserve">New Leclerc 16 F1 Warm Knitted Cap Winter Knit Bonnet Hat Skullies Beanies Hip Hop Caps for Unisex</t>
  </si>
  <si>
    <t xml:space="preserve">F1 2020 - #16 Leclerc Waffle Knit Fleece Lined Beanie with PU Leather Patch Unisex Warm Winter Soft Cap</t>
  </si>
  <si>
    <t xml:space="preserve">F1 2018 - #16 Leclerc Waffle Knit Fleece Lined Beanie with PU Leather Patch Unisex Warm Winter Soft Cap</t>
  </si>
  <si>
    <t xml:space="preserve">Leclerc 16 F1 Waffle Knit Fleece Lined Beanie with PU Leather Patch Unisex Warm Winter Soft Cap</t>
  </si>
  <si>
    <t xml:space="preserve">Bull head print baseball cap, vintage men's and women's duckbill cap, outdoor travel, sun protection and shading golo Caps Print · Outdoor · Sun Protection · Fashion · Polyester</t>
  </si>
  <si>
    <t xml:space="preserve">Bull Red Serrated Printed Washed Baseball Cap Unisex Casual Fashion Hat for Men and Women Print · Casual · Fashion · Polyester · Women</t>
  </si>
  <si>
    <t xml:space="preserve">Red Hot Chili Peppers Print Baseball Caps Cotton Distressed Washed Cowboy Hat Outdoor Sports Running Cycling Sun Cap Golf Hats Print · Sports · Fashion · Unisex · Summer</t>
  </si>
  <si>
    <t xml:space="preserve">Customized Printed Logo Solid Color Flat Eaves Snapback Caps Sunscreen Baseball Cap Suitable For Both Men And Women Justin · Solid · Acrylic · Women · Women 1K+ sold 4.3</t>
  </si>
  <si>
    <t xml:space="preserve">Customized Printed Logo Sandwich Polyester Cotton Baseball Cap Sun Protection Hat Casual And Versatile Suitable Men And Women 1K+ sold 4.7</t>
  </si>
  <si>
    <t xml:space="preserve">2026 Bull Racing Hats Outdoor Sports Baseball Hats Shade Hut Riding Hats Men and Women's Casual Caps Polyester · Polyester</t>
  </si>
  <si>
    <t xml:space="preserve">Bull Racing Maxverstappens Team Embroidery Snapback Fashion Baseball Hat Breathable Casual Casquette Outdoor Formula 1 · Polyester · Polyester</t>
  </si>
  <si>
    <t xml:space="preserve">1 pc BULL Print Washed Baseball Cap, Classic Casual Stylish Vintage Soft Sweatband Adjustable Size Lightweight</t>
  </si>
  <si>
    <t xml:space="preserve">Bull Skull Graphic Print baseball cap Casual for Men women Snapback hats outdoor adjustable Breathable trucker hat Sunscreen Hat Print · Outdoor · Breathable · Women · Four Seasons</t>
  </si>
  <si>
    <t xml:space="preserve">SLECKTON Custom Embroidery Baseball Cap for Men and Women DIY Design Mesh Cap LOGO Print Hat Quality Cotton Hat Wholesale Unisex Express identity at events 1K+ sold 4.8</t>
  </si>
  <si>
    <t xml:space="preserve">Washed Cotton Bull Head Embroidered Baseball Cap Distressed Hip Hop Peaked Cap Sunscreen Adjustable Streetwear Hats</t>
  </si>
  <si>
    <t xml:space="preserve">Custom Logo Korean Version Of Solid Color Distressed Hole Baseball Cap Women In Spring Summer With Soft Top Curved Brim Solid · Outdoor · Hip hop · Polyester · Women</t>
  </si>
  <si>
    <t xml:space="preserve">Professional Custom Logo Mesh Cap Sunscreen Sun Visor Cap Casual Sun Hat Designer Snapback Caps Printing Embroidery Baseball Cap Sports &amp; K-pop Trendy 1K+ sold 4.7</t>
  </si>
  <si>
    <t xml:space="preserve">New Custom Printed Logo Wheat Design Baseball Caps Men and Women Outdoor Shading Adjustable Sports Trucker Hat Stays shape after wash</t>
  </si>
  <si>
    <t xml:space="preserve">PUMA F1 McLaren Piastri Visor Cap Cap Baseball Cap 027473-01</t>
  </si>
  <si>
    <t xml:space="preserve">4Pcs 60mm 75mm Car Wheel Center Hub For Mercedes Benz AMG class W205 W203 GLC GLK W206 W220 W211 A180 Cap Rim Cover Accessories</t>
  </si>
  <si>
    <t xml:space="preserve">4pcs 75mm Car Wheel Center Hub Cap Badge Cover Mercedes Benz Amg A C GLC GLA W205 W204 W203 W212 W211 W213 W210 W164 A1714000025</t>
  </si>
  <si>
    <t xml:space="preserve">PUMA Alonso The Same | Aston Martin F1 Replica Fan Version Baseball Cap 026356-08</t>
  </si>
  <si>
    <t xml:space="preserve">Biao Aston Martin Team Fernando Alonso Replica Baseball Cap Hat 027246-01</t>
  </si>
  <si>
    <t xml:space="preserve">PUMA Aston Martin Fan Edition Casual Baseball Cap Cap F1 Racing Cooperation Series 026929-01</t>
  </si>
  <si>
    <t xml:space="preserve">Green Tone Chris Brown Usher Raymond R&amp;B Tour Signature Print T Shirt Men Women Retro Music Concert Casual Cotton Tee</t>
  </si>
  <si>
    <t xml:space="preserve">2027 New Vintage Rock Chuck Norris 3d Print T-shirt Men Women Fashion Hip Hop Short Sleeve Tops Tee Oversized Tshirt Men Clothes</t>
  </si>
  <si>
    <t xml:space="preserve">Formula F Cars 1 One Photos Each Decade Vintage Oversized T-Shirt WN0A</t>
  </si>
  <si>
    <t xml:space="preserve">2024 Fashion Men T Shirt Casual Ayrton Senna Brazilian Formula 1 Legend T-shirt Graphic Oversized Breathable Streetwear S-4XL</t>
  </si>
  <si>
    <t xml:space="preserve">2022 Men's New Leisure Time F1 Racing Motorcycle Short Sleeve Polo Shirt Fast Dry And Breathable Cycing Jersey T -shirt</t>
  </si>
  <si>
    <t xml:space="preserve">Formula T Shirt Men Women Kids 6xl Motorsport Drive To Survive America American Team Italian Italy Silly Face</t>
  </si>
  <si>
    <t xml:space="preserve">Formula Racing Cars (Navy Blue) T-Shirt Gym Exercise Short Sleeve T-Shirt</t>
  </si>
  <si>
    <t xml:space="preserve">For Ferrari Leclerc16 Official Team T-Shirt Summer Motorsport Car Fans Racing Red Quick-dry Jerseys</t>
  </si>
  <si>
    <t xml:space="preserve">Men'S I Love Tax Fraud Graphic T Shirt Cotton Tee Women Summer Novelty Oversize Casual Ironic Humor Weirdcor Sarcastic Hilarious</t>
  </si>
  <si>
    <t xml:space="preserve">Games Honkai Star Rail T-shirt 3D Aventurine Print Cosplay t shirts Fashion Harajuku Short Sleeve Crew Neck Tops Summer Clothing</t>
  </si>
  <si>
    <t xml:space="preserve">Men's Compression T-Shirt Red Grey Bull Head Logo Print Stretchy Quick Drying Short Sleeve Suitable For Fitness And Cycling</t>
  </si>
  <si>
    <t xml:space="preserve">90s Retro Gothic Dark Streetwear T Shirt for Men, Washed Distressed Skeleton Chest Rib Cage with Dripping Red Heart Graphic Print, Oversized Crew Neck Breathable Cotton Casual Summ</t>
  </si>
  <si>
    <t xml:space="preserve">Men's Vintage Grunge Red Tone Distressed Portrait Graphic T-Shirt, Dark Aesthetic Half Face Figure &amp; Cutout Text Print Crew Neck Loose Streetwear Washed Cotton Short Sleeve Tee.</t>
  </si>
  <si>
    <t xml:space="preserve">T Shirt Print ,Graphic-Cotton Tees Size Plus,Summer Mensssssssss Short-Sleeved Studio Ghiblis Totoros T-Shirt Harajuku Kawaii Totoros Ghiblis Comfortable Casual T-Shirt This Women'</t>
  </si>
  <si>
    <t xml:space="preserve">GP3 EXPLORER Fans Team Uniforms Men Women Breathable Summer Racing Round Neck Short Sleeve Casual T-shirt Streetwear Loose Tops</t>
  </si>
  <si>
    <t xml:space="preserve">MERCEDES AMG PETRONAS F1 TEAM x Adidas Slip Resistant Abrasion Resistant Slip Resistant Abrasion Resistant Low top JQ3273</t>
  </si>
  <si>
    <t xml:space="preserve">Raiden Mei Game Honkai Impact 3rd Hoodie 3D Print Anime Swearshirts Fashion Daily Streetwear Party Holiday Long Sleeve Tracksuit</t>
  </si>
  <si>
    <t xml:space="preserve">Daniel Ricciardo 3 - F1 2023 Hoodies Men Women Casual Pullover Sweatshirt Hip Hop Long Sleeve Streetwear Autumn Winter</t>
  </si>
  <si>
    <t xml:space="preserve">Daniel Ricciardo RB Team - F1 Hoodies Men's Women Casual Pullover Sweatshirts Hip Hop Long Sleeve Clothing Autumn Winter</t>
  </si>
  <si>
    <t xml:space="preserve">Fashion Starry Night 3D Print Hoodies Starlit Sky Graphic Sweatshirts Long Sleeve Loose Casual Hooded Pullovers Men Women Hoodie</t>
  </si>
  <si>
    <t xml:space="preserve">Carlos Sainz Jr F1 Signature Graphic Hoodies Men Women Casual Pullover Sweatshirts Fashion Long Sleeve Clothing Autumn Winter</t>
  </si>
  <si>
    <t xml:space="preserve">Leclerc 16-Scuderia Hoodies Long Sleeve Scuderia Leclerc 16 Formula Uno Pricing Horse Monaco Italy Sf71h 2018 2019</t>
  </si>
  <si>
    <t xml:space="preserve">Box Box Box F1 Hoodies Men Women Casual Pullover Sweatshirts Fashion Long Sleeve Hooded Autumn Winter</t>
  </si>
  <si>
    <t xml:space="preserve">Lewis 44-2021 Hoodie Sweater 6xl Cotton World Still I Rise 44 Team Formula Car 2021 Car F 1 Car Racing Petronas Motorsport</t>
  </si>
  <si>
    <t xml:space="preserve">Sergio Checo Perez 11 F1 Fan Hoodie Formula One Racing Car Print Hooded Sweatshirt Unisex Loose Hoodie For F1 Fans</t>
  </si>
  <si>
    <t xml:space="preserve">Formula Hoodie Cotton Long Sleeve Motorsport Drive To Survive America American Team Italian Italy Silly Face</t>
  </si>
  <si>
    <t xml:space="preserve">F1 Academy Hello Kitty Hooded Sweatshirt for Men and Women, Autumn and Winter Top, Comfortable, Breathable, High-quality Ins Y2k</t>
  </si>
  <si>
    <t xml:space="preserve">Hello Kitty F1 Academy Hoodie Kawaii Racing Pattern Printed Sports Shirt Double Sided Design Casual Hoodie</t>
  </si>
  <si>
    <t xml:space="preserve">New Fashion 3D Print Akira Zipper Hoodies Zip Up Hooded Sweatshirts Harajuku Hoodies Hip Hop Sweatshirts F1</t>
  </si>
  <si>
    <t xml:space="preserve">Paly Washed Red Pasolini F1 Hooded Hoodie Men Women Best Quality Pullovers</t>
  </si>
  <si>
    <t xml:space="preserve">New Style Four Seasons New 3D Printed Men's Starry Sky Model Mountain Sports And Leisure Hoodie Men's Hoodie Pullover Tops</t>
  </si>
  <si>
    <t xml:space="preserve">Box Box Box F1 Hoodie, Unisex Drawstring Hooded Sweatshirt Racing Tire Compound Front Print Formula 1 Motorsport Pullover</t>
  </si>
  <si>
    <t xml:space="preserve">False Rhinestone Starry Sky Pattern Print Washed Zipper Loose Hoodie Street Casual Cotton Versatile Sports Trendy Sweatshirt</t>
  </si>
  <si>
    <t xml:space="preserve">Box Box Hoodie Racing Motorsport F1 Pit Stop Tire Aesthetic Streetwear White Oversized Casual Sweatshirt Long Sleeve</t>
  </si>
  <si>
    <t xml:space="preserve">F1 Box Box Hoodie, Unisex Drawstring Hooded Sweatshirt Formula Racing Tire Compound Graphic Front Print Motorsport Fan Pullover</t>
  </si>
  <si>
    <t xml:space="preserve">Vintage Formula 1 Race Car Graphic Print Hoodie Casual Streetwear Pullover Autumn Winter Sweatshirt Unisex Oversized Polyester · Loose · Solid · Street · Print</t>
  </si>
  <si>
    <t xml:space="preserve">2026 Autumn/Winter New Model Racing Driver Lando Norris Hooded Pullover Suitable for both Men Women Casual Sports Racing Suit</t>
  </si>
  <si>
    <t xml:space="preserve">Men Full Zip Hoodie Lewis Hamilton 44 Print Racing Sweatshirt Long Sleeve Casual Hooded Jacket Unisex Motorsport Fan Outerwear</t>
  </si>
  <si>
    <t xml:space="preserve">F1 driver Lewis Hamilton digital 44 Autumn Jogging Suits for Men Striped Hoodie+Pants Tracksuit Sportswear Clothing Sweat Suit Print · Standard</t>
  </si>
  <si>
    <t xml:space="preserve">2026 Lando Norris Fall/Winter 2025 New Collection: The Perfect Combination of Racing Style Hoodies and Extreme Sports Clothes Polyester · Regular · Formula 1 · Print · Street</t>
  </si>
  <si>
    <t xml:space="preserve">Formula Racing Series Loose Hooded Sweater Jacket Casual Autumn and Winter Long Sleeve American Men's and Women's Casual Hoodie Broadcloth · Formula 1 · Letter · Polyester</t>
  </si>
  <si>
    <t xml:space="preserve">Racing Car Schematic Engineer Formula Team Fan Christian Hoodie Men High Quality Men's Sweater Outdoor Print · Polyester · Standard</t>
  </si>
  <si>
    <t xml:space="preserve">Retro Formula Hoodies Long Sleeve Worldengine Grand Prix Racing Drive To Survive Print · Standard</t>
  </si>
  <si>
    <t xml:space="preserve">Ayrton Senna New Men Casual Fleece Comfortable Hoodies Spring Autumn Pullovers Fashion Solid Color Sweatshirts Coat Print · Polyester</t>
  </si>
  <si>
    <t xml:space="preserve">Ayrton Senna New Patchwork Hoodies Outdoor Casual Sportswear Street Fashion Men's Fleece Hooded Sweatshirt Zipper Coat Print · Polyester · Standard</t>
  </si>
  <si>
    <t xml:space="preserve">Ayrton Senna Anti Collision Shirt Stylish Urbanization No Loss of Texture Coat Multiple Zippers Versatile Hoodies Jacket Print · Polyester · Standard</t>
  </si>
  <si>
    <t xml:space="preserve">2025 Spring And Autumn Man's Fashion Drawstring Hoodies Ayrton Senna Logo Print Double Diagonal Zipper Premium Hooded Coat Cotton · Regular · Formula 1 · Print · Street</t>
  </si>
  <si>
    <t xml:space="preserve">Spa-Francorchamps-Belgium Track Map Flag Hoodie Sweater 6xl Cotton Belgium Spa Francorchamps Kimi Belgiangp Formula Track Map Cotton · Regular · Formula 1 · Street · Racing</t>
  </si>
  <si>
    <t xml:space="preserve">Hamilton 44 Hoodie Lewis Hamilton Racing Sweatshirts Women Men Fashion Clothes Long Sleese High Street Oversized Tracksuit Hoody Polyester · Standard</t>
  </si>
  <si>
    <t xml:space="preserve">Custom Logo Embroidery Print Baseball Cap For Men And Women Customized Truck Mesh Hat Brand Design Diy Nylon Golf Hat Wholesale</t>
  </si>
  <si>
    <t xml:space="preserve">Custom Logo Retro Baseball Cap for Men Women DIY Design Letter hole tear Embroidery Hat Customize Cap Graphic Print Wholesale</t>
  </si>
  <si>
    <t xml:space="preserve">Outdoor male custom logo Camo tactical hat Men Casual Hiking Camp Trucker hats baseball cap with DIY embroidery logo</t>
  </si>
  <si>
    <t xml:space="preserve">Custom Print Embroidery Outdoor Jungle Fishing Baseball Hat Cap Man Camouflage Hunting Hats Cotton Casquette Trucker Dad Caps</t>
  </si>
  <si>
    <t xml:space="preserve">Customized logo embroidery cap Unisex corduroy retro baseball cap Warm custom design Embroidery printed logo cap</t>
  </si>
  <si>
    <t xml:space="preserve">Customizable Adjustable Baseball Cap with Personalized embroidery Waterproof Unisex Custom Logo Hat for Men And Women</t>
  </si>
  <si>
    <t xml:space="preserve">Custom logo hat unisex mesh hat cotton baseball cap design pattern printing embroidery logo hat gift custom wholesale</t>
  </si>
  <si>
    <t xml:space="preserve">Custom Printed Embroidery Full Closure Flat Brim Baseball Cap for Men and Women Solid Color Outdoor Sunshade Casual Trucker Hat</t>
  </si>
  <si>
    <t xml:space="preserve">Custom logo Vintage Distressed Ripped Hole Baseball Cap Embroidery Print Logo Washed Cotton Dad Hat Unisex Adjustable Casual Sun</t>
  </si>
  <si>
    <t xml:space="preserve">2026 new model Je Suis Un Mec Simple J Aime La Petanque Et Lapero T Shirt Men Customized Cotton O Ne</t>
  </si>
  <si>
    <t xml:space="preserve">2026 New 14 Alonso Driver AMR Official Racing Team Motorsport Sports T-Shirt Mens Car Fans Green Not Fade</t>
  </si>
  <si>
    <t xml:space="preserve">Formula Racing Art T-Shirt 100% Premium Cotton Performance Fit Hand Drawn Speed Graphic Tee for Racing Fans</t>
  </si>
  <si>
    <t xml:space="preserve">Spring and Autumn Fashion Women Custom Your Logo Drawstring Hoodie Sweatshirt Women Loose Casual Blouse</t>
  </si>
  <si>
    <t xml:space="preserve">DIY Custom Logo Men's Hoodies Sweatshirts Spring Autumn Casual Zip Up Hoodie Tracksuit Long Sleeve Hooded Sweatshirt Hoody Coat</t>
  </si>
  <si>
    <t xml:space="preserve">Customize Your Logo DIY Autumn and Winter Unisex Fashion Double-layer Hoodie Y2K Casual Loose Zipper Sweatshirt Street Trend Spo</t>
  </si>
  <si>
    <t xml:space="preserve">Custom Logo Hoodie Unisex Sweatshirt Personalized Printing Embroidery Long Sleeve Pullover Men Women Couple Team Uniform Gift</t>
  </si>
  <si>
    <t xml:space="preserve">Custom Logo Men Zip‑Up Hoodie Jacket Color Block Patchwork Long Sleeve Cardigan Coat Casual Street Outerwear Men Autumn Clothing</t>
  </si>
  <si>
    <t xml:space="preserve">Men Custom Printed Fleece Hoodie Set, Knit Brushed Fleece Loose Tracksuit With Pockets Casual Outfit For Daily Sports</t>
  </si>
  <si>
    <t xml:space="preserve">Custom Your Picture Text Thick Zip‑Up Hooded Sweatshirt, 35% Cotton 65% Polyester Fleece Lined Full Zip Hoodie Men Women Top</t>
  </si>
  <si>
    <t xml:space="preserve">Unisex Liquid Ammonia Zip-Up Hoodie NEW Spring Fall Thin High Quality Custom Print Embroidery Logos Text Casual Top Mens Womens</t>
  </si>
  <si>
    <t xml:space="preserve">Personalized Custom Men's Luxury Sweatshirt Long Sleeve Casual Daily Wear Pullover Designer Streetwear Hoodie Top</t>
  </si>
  <si>
    <t xml:space="preserve">Постеры: цена по размерам</t>
  </si>
  <si>
    <t xml:space="preserve">Лот 1005005851892159: 21 дизайн, холст без рамки, цена одинакова для всех дизайнов. Оценка 4.4, 112 заказов. «На сайт» — какие размеры предлагать (по умолчанию 4 ходовых).</t>
  </si>
  <si>
    <t xml:space="preserve">Размер</t>
  </si>
  <si>
    <t xml:space="preserve">На сайт</t>
  </si>
  <si>
    <t xml:space="preserve">13×18 см</t>
  </si>
  <si>
    <t xml:space="preserve">15×20 см</t>
  </si>
  <si>
    <t xml:space="preserve">20×25 см</t>
  </si>
  <si>
    <t xml:space="preserve">20×30 см</t>
  </si>
  <si>
    <t xml:space="preserve">да</t>
  </si>
  <si>
    <t xml:space="preserve">40×50 см</t>
  </si>
  <si>
    <t xml:space="preserve">40×60 см</t>
  </si>
  <si>
    <t xml:space="preserve">50×70 см</t>
  </si>
  <si>
    <t xml:space="preserve">60×80 см</t>
  </si>
  <si>
    <t xml:space="preserve">60×90 см</t>
  </si>
  <si>
    <t xml:space="preserve">Дизайны</t>
  </si>
  <si>
    <t xml:space="preserve">SKU-1</t>
  </si>
  <si>
    <t xml:space="preserve">SKU-2</t>
  </si>
  <si>
    <t xml:space="preserve">SKU-3</t>
  </si>
  <si>
    <t xml:space="preserve">SKU-4</t>
  </si>
  <si>
    <t xml:space="preserve">SKU-5</t>
  </si>
  <si>
    <t xml:space="preserve">SKU-6</t>
  </si>
  <si>
    <t xml:space="preserve">SKU-7</t>
  </si>
  <si>
    <t xml:space="preserve">SKU-8</t>
  </si>
  <si>
    <t xml:space="preserve">SKU-9</t>
  </si>
  <si>
    <t xml:space="preserve">SKU-10</t>
  </si>
  <si>
    <t xml:space="preserve">SKU-11</t>
  </si>
  <si>
    <t xml:space="preserve">SKU-12</t>
  </si>
  <si>
    <t xml:space="preserve">SKU-13</t>
  </si>
  <si>
    <t xml:space="preserve">SKU-14</t>
  </si>
  <si>
    <t xml:space="preserve">SKU-15</t>
  </si>
  <si>
    <t xml:space="preserve">SKU-16</t>
  </si>
  <si>
    <t xml:space="preserve">SKU-17</t>
  </si>
  <si>
    <t xml:space="preserve">SKU-18</t>
  </si>
  <si>
    <t xml:space="preserve">SKU-19</t>
  </si>
  <si>
    <t xml:space="preserve">SKU-20</t>
  </si>
  <si>
    <t xml:space="preserve">SKU-21</t>
  </si>
  <si>
    <t xml:space="preserve">Schumacher / Ferrari (японский стиль)</t>
  </si>
  <si>
    <t xml:space="preserve">Все варианты моделей из лотов (CSV из Chrome, 25.09.2026)</t>
  </si>
  <si>
    <t xml:space="preserve">«В ассортименте» — вариант взят на лист «Ассортимент». «Дубль» — такой же есть дешевле или с бо́льшим числом заказов. «Убрано» — версии, которые решили не брать.</t>
  </si>
  <si>
    <t xml:space="preserve">Статус</t>
  </si>
  <si>
    <t xml:space="preserve">1005010208916818</t>
  </si>
  <si>
    <t xml:space="preserve">4.9</t>
  </si>
  <si>
    <t xml:space="preserve">в ассортименте</t>
  </si>
  <si>
    <t xml:space="preserve">81-PIA-Australia</t>
  </si>
  <si>
    <t xml:space="preserve">ГП Австралии</t>
  </si>
  <si>
    <t xml:space="preserve">убрано: версия «Австралия»</t>
  </si>
  <si>
    <t xml:space="preserve">63-RUS-Australia</t>
  </si>
  <si>
    <t xml:space="preserve">4-NOR-Britain</t>
  </si>
  <si>
    <t xml:space="preserve">ГП Великобритании</t>
  </si>
  <si>
    <t xml:space="preserve">убрано: ливрея «Великобритания»</t>
  </si>
  <si>
    <t xml:space="preserve">81-PIA-Britain</t>
  </si>
  <si>
    <t xml:space="preserve">63-RUS-Britain</t>
  </si>
  <si>
    <t xml:space="preserve">1005010208755468</t>
  </si>
  <si>
    <t xml:space="preserve">2025 SF25-16</t>
  </si>
  <si>
    <t xml:space="preserve">дубль: берём лот …916818 за 789 ₽</t>
  </si>
  <si>
    <t xml:space="preserve">2025 SF25-16 M</t>
  </si>
  <si>
    <t xml:space="preserve">2025 RB21-1JP</t>
  </si>
  <si>
    <t xml:space="preserve">2025 RB21-22JP</t>
  </si>
  <si>
    <t xml:space="preserve">2025 RB21-22BHR</t>
  </si>
  <si>
    <t xml:space="preserve">2025 MCL39-4UK</t>
  </si>
  <si>
    <t xml:space="preserve">2025 W16 E-12UK</t>
  </si>
  <si>
    <t xml:space="preserve">2025 W16 E-63UK</t>
  </si>
  <si>
    <t xml:space="preserve">2025 MCL39-81UK</t>
  </si>
  <si>
    <t xml:space="preserve">1005013123378832</t>
  </si>
  <si>
    <t xml:space="preserve">нет оценок</t>
  </si>
  <si>
    <t xml:space="preserve">1005013034982313</t>
  </si>
  <si>
    <t xml:space="preserve">1005009397158416</t>
  </si>
  <si>
    <t xml:space="preserve">дубль: берём лот …502926 за 2409 ₽</t>
  </si>
  <si>
    <t xml:space="preserve">дубль: берём лот …001375 за 2312 ₽</t>
  </si>
  <si>
    <t xml:space="preserve">дубль: берём лот …001375 за 2509 ₽</t>
  </si>
  <si>
    <t xml:space="preserve">дубль: берём лот …502926 за 2401 ₽</t>
  </si>
  <si>
    <t xml:space="preserve">дубль: берём лот …502926 за 2421 ₽</t>
  </si>
  <si>
    <t xml:space="preserve">1005009081001375</t>
  </si>
  <si>
    <t xml:space="preserve">1005009085028182</t>
  </si>
  <si>
    <t xml:space="preserve">2024 MCL38-4</t>
  </si>
  <si>
    <t xml:space="preserve">ГП Майами 2024</t>
  </si>
  <si>
    <t xml:space="preserve">5.0</t>
  </si>
  <si>
    <t xml:space="preserve">убрано: версия McLaren «Майами»</t>
  </si>
  <si>
    <t xml:space="preserve">2024 MCL38-81</t>
  </si>
  <si>
    <t xml:space="preserve">1005010633502926</t>
  </si>
  <si>
    <t xml:space="preserve">Что осталось проверить</t>
  </si>
  <si>
    <t xml:space="preserve">Конструкторы CaDA 1:24 (2 лота)</t>
  </si>
  <si>
    <t xml:space="preserve">Цена нужного варианта, официальный магазин CaDA, число деталей и возраст на коробке. В CSV из Chrome этих лотов нет, цены — из поиска aliexpress.com: там была только цена для новых покупателей, в таблице — зачёркнутая как верхняя оценка. Реальная может быть до двух раз ниже.</t>
  </si>
  <si>
    <t xml:space="preserve">Реплики 1:8 (7 машин, 5 лотов)</t>
  </si>
  <si>
    <t xml:space="preserve">Цена нужного варианта и вариант «с коробкой»; фото коробки в отзывах: без логотипа LEGO, печать нормального качества. Жёлтые цены — верхняя оценка.</t>
  </si>
  <si>
    <t xml:space="preserve">Доставка</t>
  </si>
  <si>
    <t xml:space="preserve">Цены в таблице — за товар. Если доставка в РФ платная, прибавить её к цене на Ali.</t>
  </si>
  <si>
    <t xml:space="preserve">Новинки 2026 (1:43)</t>
  </si>
  <si>
    <t xml:space="preserve">Оценок нет, 31–45 заказов. Сначала заказать по одной для проверки качества.</t>
  </si>
  <si>
    <t xml:space="preserve">Мерч в стиле командной формы</t>
  </si>
  <si>
    <t xml:space="preserve">Цена нужного размера (жёлтые — верхняя оценка), фото из отзывов: качество печати и вышивки. Кепки и худи Ferrari, Red Bull, Mercedes, McLaren поискать на aliexpress.ru — на aliexpress.com их почти нет.</t>
  </si>
  <si>
    <t xml:space="preserve">Мерч — размеры</t>
  </si>
  <si>
    <t xml:space="preserve">У каждого продавца одежды взять таблицу размеров в сантиметрах: азиатская сетка обычно на 1–2 размера меньше.</t>
  </si>
  <si>
    <t xml:space="preserve">Оценка лота 4.4 — ниже остальных; посмотреть фото печати в отзывах.</t>
  </si>
  <si>
    <t xml:space="preserve">Параметры расчёта</t>
  </si>
  <si>
    <t xml:space="preserve">Синие ячейки можно менять — цены и прибыль на листах «Ассортимент» и «Постеры — размеры» пересчитаются.</t>
  </si>
  <si>
    <t xml:space="preserve">Порог 1: закупка дешевле, ₽</t>
  </si>
  <si>
    <t xml:space="preserve">Правило наценки из f1-shop/01-business-model.md</t>
  </si>
  <si>
    <t xml:space="preserve">Наценка до порога 1, ×</t>
  </si>
  <si>
    <t xml:space="preserve">Дешёвые позиции: ×2</t>
  </si>
  <si>
    <t xml:space="preserve">Порог 2: закупка до, ₽</t>
  </si>
  <si>
    <t xml:space="preserve">Наценка между порогами, ×</t>
  </si>
  <si>
    <t xml:space="preserve">Средние позиции: ×1,6</t>
  </si>
  <si>
    <t xml:space="preserve">Наценка дороже порога 2, ×</t>
  </si>
  <si>
    <t xml:space="preserve">Дорогие позиции: ×1,35</t>
  </si>
  <si>
    <t xml:space="preserve">Эквайринг, доля</t>
  </si>
  <si>
    <t xml:space="preserve">ЮKassa, карта; по СБП меньше (f1-shop/03-payments.md)</t>
  </si>
  <si>
    <t xml:space="preserve">Налог УСН «Доходы», доля</t>
  </si>
  <si>
    <t xml:space="preserve">ИП на УСН 6 %</t>
  </si>
  <si>
    <t xml:space="preserve">Резерв на возвраты, доля</t>
  </si>
  <si>
    <t xml:space="preserve">f1-shop/01-business-model.md</t>
  </si>
  <si>
    <t xml:space="preserve">Лимит цены для 1:24, ₽</t>
  </si>
  <si>
    <t xml:space="preserve">Правило владельца магазина: 1:24 берём до 2 800 ₽</t>
  </si>
  <si>
    <t xml:space="preserve">Курс доллара, ₽</t>
  </si>
  <si>
    <t xml:space="preserve">ЦБ РФ на 20.09.2026 — для лотов с aliexpress.com (конструкторы, мерч)</t>
  </si>
  <si>
    <t xml:space="preserve">Резерв на возвраты, одежда, доля</t>
  </si>
  <si>
    <t xml:space="preserve">По одежде возвратов больше — размер (f1-shop/10-content.md)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</si>
</sst>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1F24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1F2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aliexpress.ru/item/1005010208916818.html" TargetMode="External"/><Relationship Id="rId3" Type="http://schemas.openxmlformats.org/officeDocument/2006/relationships/hyperlink" Target="https://aliexpress.ru/item/1005010208916818.html" TargetMode="External"/><Relationship Id="rId4" Type="http://schemas.openxmlformats.org/officeDocument/2006/relationships/hyperlink" Target="https://aliexpress.ru/item/1005010208755468.html" TargetMode="External"/><Relationship Id="rId5" Type="http://schemas.openxmlformats.org/officeDocument/2006/relationships/hyperlink" Target="https://aliexpress.ru/item/1005010208916818.html" TargetMode="External"/><Relationship Id="rId6" Type="http://schemas.openxmlformats.org/officeDocument/2006/relationships/hyperlink" Target="https://aliexpress.ru/item/1005010208755468.html" TargetMode="External"/><Relationship Id="rId7" Type="http://schemas.openxmlformats.org/officeDocument/2006/relationships/hyperlink" Target="https://aliexpress.ru/item/1005010208916818.html" TargetMode="External"/><Relationship Id="rId8" Type="http://schemas.openxmlformats.org/officeDocument/2006/relationships/hyperlink" Target="https://aliexpress.ru/item/1005010208916818.html" TargetMode="External"/><Relationship Id="rId9" Type="http://schemas.openxmlformats.org/officeDocument/2006/relationships/hyperlink" Target="https://aliexpress.ru/item/1005010208916818.html" TargetMode="External"/><Relationship Id="rId10" Type="http://schemas.openxmlformats.org/officeDocument/2006/relationships/hyperlink" Target="https://aliexpress.ru/item/1005010208755468.html" TargetMode="External"/><Relationship Id="rId11" Type="http://schemas.openxmlformats.org/officeDocument/2006/relationships/hyperlink" Target="https://aliexpress.ru/item/1005010208755468.html" TargetMode="External"/><Relationship Id="rId12" Type="http://schemas.openxmlformats.org/officeDocument/2006/relationships/hyperlink" Target="https://aliexpress.ru/item/1005010208755468.html" TargetMode="External"/><Relationship Id="rId13" Type="http://schemas.openxmlformats.org/officeDocument/2006/relationships/hyperlink" Target="https://aliexpress.ru/item/1005010208755468.html" TargetMode="External"/><Relationship Id="rId14" Type="http://schemas.openxmlformats.org/officeDocument/2006/relationships/hyperlink" Target="https://aliexpress.ru/item/1005010208755468.html" TargetMode="External"/><Relationship Id="rId15" Type="http://schemas.openxmlformats.org/officeDocument/2006/relationships/hyperlink" Target="https://aliexpress.ru/item/1005010208755468.html" TargetMode="External"/><Relationship Id="rId16" Type="http://schemas.openxmlformats.org/officeDocument/2006/relationships/hyperlink" Target="https://aliexpress.ru/item/1005010208755468.html" TargetMode="External"/><Relationship Id="rId17" Type="http://schemas.openxmlformats.org/officeDocument/2006/relationships/hyperlink" Target="https://aliexpress.ru/item/1005010208755468.html" TargetMode="External"/><Relationship Id="rId18" Type="http://schemas.openxmlformats.org/officeDocument/2006/relationships/hyperlink" Target="https://aliexpress.ru/item/1005013123378832.html" TargetMode="External"/><Relationship Id="rId19" Type="http://schemas.openxmlformats.org/officeDocument/2006/relationships/hyperlink" Target="https://aliexpress.ru/item/1005013123378832.html" TargetMode="External"/><Relationship Id="rId20" Type="http://schemas.openxmlformats.org/officeDocument/2006/relationships/hyperlink" Target="https://aliexpress.ru/item/1005013034982313.html" TargetMode="External"/><Relationship Id="rId21" Type="http://schemas.openxmlformats.org/officeDocument/2006/relationships/hyperlink" Target="https://aliexpress.ru/item/1005013034982313.html" TargetMode="External"/><Relationship Id="rId22" Type="http://schemas.openxmlformats.org/officeDocument/2006/relationships/hyperlink" Target="https://aliexpress.ru/item/1005009397158416.html" TargetMode="External"/><Relationship Id="rId23" Type="http://schemas.openxmlformats.org/officeDocument/2006/relationships/hyperlink" Target="https://aliexpress.ru/item/1005009081001375.html" TargetMode="External"/><Relationship Id="rId24" Type="http://schemas.openxmlformats.org/officeDocument/2006/relationships/hyperlink" Target="https://aliexpress.ru/item/1005010633502926.html" TargetMode="External"/><Relationship Id="rId25" Type="http://schemas.openxmlformats.org/officeDocument/2006/relationships/hyperlink" Target="https://aliexpress.ru/item/1005010633502926.html" TargetMode="External"/><Relationship Id="rId26" Type="http://schemas.openxmlformats.org/officeDocument/2006/relationships/hyperlink" Target="https://aliexpress.ru/item/1005009397158416.html" TargetMode="External"/><Relationship Id="rId27" Type="http://schemas.openxmlformats.org/officeDocument/2006/relationships/hyperlink" Target="https://aliexpress.ru/item/1005010633502926.html" TargetMode="External"/><Relationship Id="rId28" Type="http://schemas.openxmlformats.org/officeDocument/2006/relationships/hyperlink" Target="https://aliexpress.ru/item/1005009081001375.html" TargetMode="External"/><Relationship Id="rId29" Type="http://schemas.openxmlformats.org/officeDocument/2006/relationships/hyperlink" Target="https://aliexpress.ru/item/1005009081001375.html" TargetMode="External"/><Relationship Id="rId30" Type="http://schemas.openxmlformats.org/officeDocument/2006/relationships/hyperlink" Target="https://aliexpress.ru/item/1005008619594051.html" TargetMode="External"/><Relationship Id="rId31" Type="http://schemas.openxmlformats.org/officeDocument/2006/relationships/hyperlink" Target="https://aliexpress.ru/item/1005009081001375.html" TargetMode="External"/><Relationship Id="rId32" Type="http://schemas.openxmlformats.org/officeDocument/2006/relationships/hyperlink" Target="https://aliexpress.ru/item/1005010633502926.html" TargetMode="External"/><Relationship Id="rId33" Type="http://schemas.openxmlformats.org/officeDocument/2006/relationships/hyperlink" Target="https://aliexpress.ru/item/1005010633502926.html" TargetMode="External"/><Relationship Id="rId34" Type="http://schemas.openxmlformats.org/officeDocument/2006/relationships/hyperlink" Target="https://www.aliexpress.us/item/3256811986486740.html" TargetMode="External"/><Relationship Id="rId35" Type="http://schemas.openxmlformats.org/officeDocument/2006/relationships/hyperlink" Target="https://www.aliexpress.us/item/3256807694767657.html" TargetMode="External"/><Relationship Id="rId36" Type="http://schemas.openxmlformats.org/officeDocument/2006/relationships/hyperlink" Target="https://www.aliexpress.us/item/3256812495260677.html" TargetMode="External"/><Relationship Id="rId37" Type="http://schemas.openxmlformats.org/officeDocument/2006/relationships/hyperlink" Target="https://www.aliexpress.us/item/3256812722545307.html" TargetMode="External"/><Relationship Id="rId38" Type="http://schemas.openxmlformats.org/officeDocument/2006/relationships/hyperlink" Target="https://www.aliexpress.us/item/3256811400880844.html" TargetMode="External"/><Relationship Id="rId39" Type="http://schemas.openxmlformats.org/officeDocument/2006/relationships/hyperlink" Target="https://www.aliexpress.us/item/3256811400880844.html" TargetMode="External"/><Relationship Id="rId40" Type="http://schemas.openxmlformats.org/officeDocument/2006/relationships/hyperlink" Target="https://www.aliexpress.us/item/3256811400880844.html" TargetMode="External"/><Relationship Id="rId41" Type="http://schemas.openxmlformats.org/officeDocument/2006/relationships/hyperlink" Target="https://www.aliexpress.us/item/3256812982547966.html" TargetMode="External"/><Relationship Id="rId42" Type="http://schemas.openxmlformats.org/officeDocument/2006/relationships/hyperlink" Target="https://www.aliexpress.us/item/3256812956829803.html" TargetMode="External"/><Relationship Id="rId43" Type="http://schemas.openxmlformats.org/officeDocument/2006/relationships/hyperlink" Target="https://aliexpress.ru/item/1005005851892159.html" TargetMode="External"/><Relationship Id="rId44" Type="http://schemas.openxmlformats.org/officeDocument/2006/relationships/hyperlink" Target="https://aliexpress.ru/item/1005005851892159.html" TargetMode="External"/><Relationship Id="rId45" Type="http://schemas.openxmlformats.org/officeDocument/2006/relationships/hyperlink" Target="https://aliexpress.ru/item/1005005851892159.html" TargetMode="External"/><Relationship Id="rId46" Type="http://schemas.openxmlformats.org/officeDocument/2006/relationships/hyperlink" Target="https://aliexpress.ru/item/1005005851892159.html" TargetMode="External"/><Relationship Id="rId47" Type="http://schemas.openxmlformats.org/officeDocument/2006/relationships/hyperlink" Target="https://aliexpress.ru/item/1005005851892159.html" TargetMode="External"/><Relationship Id="rId48" Type="http://schemas.openxmlformats.org/officeDocument/2006/relationships/hyperlink" Target="https://aliexpress.ru/item/1005005851892159.html" TargetMode="External"/><Relationship Id="rId49" Type="http://schemas.openxmlformats.org/officeDocument/2006/relationships/hyperlink" Target="https://aliexpress.ru/item/1005005851892159.html" TargetMode="External"/><Relationship Id="rId50" Type="http://schemas.openxmlformats.org/officeDocument/2006/relationships/hyperlink" Target="https://aliexpress.ru/item/1005005851892159.html" TargetMode="External"/><Relationship Id="rId51" Type="http://schemas.openxmlformats.org/officeDocument/2006/relationships/hyperlink" Target="https://aliexpress.ru/item/1005005851892159.html" TargetMode="External"/><Relationship Id="rId52" Type="http://schemas.openxmlformats.org/officeDocument/2006/relationships/hyperlink" Target="https://aliexpress.ru/item/1005005851892159.html" TargetMode="External"/><Relationship Id="rId53" Type="http://schemas.openxmlformats.org/officeDocument/2006/relationships/hyperlink" Target="https://aliexpress.ru/item/1005005851892159.html" TargetMode="External"/><Relationship Id="rId54" Type="http://schemas.openxmlformats.org/officeDocument/2006/relationships/hyperlink" Target="https://aliexpress.ru/item/1005005851892159.html" TargetMode="External"/><Relationship Id="rId55" Type="http://schemas.openxmlformats.org/officeDocument/2006/relationships/hyperlink" Target="https://aliexpress.ru/item/1005005851892159.html" TargetMode="External"/><Relationship Id="rId56" Type="http://schemas.openxmlformats.org/officeDocument/2006/relationships/hyperlink" Target="https://aliexpress.ru/item/1005005851892159.html" TargetMode="External"/><Relationship Id="rId57" Type="http://schemas.openxmlformats.org/officeDocument/2006/relationships/hyperlink" Target="https://aliexpress.ru/item/1005005851892159.html" TargetMode="External"/><Relationship Id="rId58" Type="http://schemas.openxmlformats.org/officeDocument/2006/relationships/hyperlink" Target="https://aliexpress.ru/item/1005005851892159.html" TargetMode="External"/><Relationship Id="rId59" Type="http://schemas.openxmlformats.org/officeDocument/2006/relationships/hyperlink" Target="https://aliexpress.ru/item/1005005851892159.html" TargetMode="External"/><Relationship Id="rId60" Type="http://schemas.openxmlformats.org/officeDocument/2006/relationships/hyperlink" Target="https://aliexpress.ru/item/1005005851892159.html" TargetMode="External"/><Relationship Id="rId61" Type="http://schemas.openxmlformats.org/officeDocument/2006/relationships/hyperlink" Target="https://aliexpress.ru/item/1005005851892159.html" TargetMode="External"/><Relationship Id="rId62" Type="http://schemas.openxmlformats.org/officeDocument/2006/relationships/hyperlink" Target="https://aliexpress.ru/item/1005005851892159.html" TargetMode="External"/><Relationship Id="rId63" Type="http://schemas.openxmlformats.org/officeDocument/2006/relationships/hyperlink" Target="https://aliexpress.ru/item/1005005851892159.html" TargetMode="External"/><Relationship Id="rId64" Type="http://schemas.openxmlformats.org/officeDocument/2006/relationships/drawing" Target="../drawings/drawing1.xml"/><Relationship Id="rId6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aliexpress.us/item/3256811662651987.html" TargetMode="External"/><Relationship Id="rId3" Type="http://schemas.openxmlformats.org/officeDocument/2006/relationships/hyperlink" Target="https://www.aliexpress.us/item/3256812920506215.html" TargetMode="External"/><Relationship Id="rId4" Type="http://schemas.openxmlformats.org/officeDocument/2006/relationships/hyperlink" Target="https://www.aliexpress.us/item/3256812746522986.html" TargetMode="External"/><Relationship Id="rId5" Type="http://schemas.openxmlformats.org/officeDocument/2006/relationships/hyperlink" Target="https://www.aliexpress.us/item/3256811671431441.html" TargetMode="External"/><Relationship Id="rId6" Type="http://schemas.openxmlformats.org/officeDocument/2006/relationships/hyperlink" Target="https://www.aliexpress.us/item/3256812246454688.html" TargetMode="External"/><Relationship Id="rId7" Type="http://schemas.openxmlformats.org/officeDocument/2006/relationships/hyperlink" Target="https://www.aliexpress.us/item/3256811709065122.html" TargetMode="External"/><Relationship Id="rId8" Type="http://schemas.openxmlformats.org/officeDocument/2006/relationships/hyperlink" Target="https://www.aliexpress.us/item/3256812911521129.html" TargetMode="External"/><Relationship Id="rId9" Type="http://schemas.openxmlformats.org/officeDocument/2006/relationships/hyperlink" Target="https://www.aliexpress.us/item/3256812755115298.html" TargetMode="External"/><Relationship Id="rId10" Type="http://schemas.openxmlformats.org/officeDocument/2006/relationships/hyperlink" Target="https://www.aliexpress.us/item/3256812852478104.html" TargetMode="External"/><Relationship Id="rId11" Type="http://schemas.openxmlformats.org/officeDocument/2006/relationships/hyperlink" Target="https://www.aliexpress.us/item/3256809407682033.html" TargetMode="External"/><Relationship Id="rId12" Type="http://schemas.openxmlformats.org/officeDocument/2006/relationships/hyperlink" Target="https://www.aliexpress.us/item/3256810563498806.html" TargetMode="External"/><Relationship Id="rId13" Type="http://schemas.openxmlformats.org/officeDocument/2006/relationships/hyperlink" Target="https://www.aliexpress.us/item/3256810450913724.html" TargetMode="External"/><Relationship Id="rId14" Type="http://schemas.openxmlformats.org/officeDocument/2006/relationships/hyperlink" Target="https://www.aliexpress.us/item/3256812151916721.html" TargetMode="External"/><Relationship Id="rId15" Type="http://schemas.openxmlformats.org/officeDocument/2006/relationships/hyperlink" Target="https://www.aliexpress.us/item/3256812143727223.html" TargetMode="External"/><Relationship Id="rId16" Type="http://schemas.openxmlformats.org/officeDocument/2006/relationships/hyperlink" Target="https://www.aliexpress.us/item/3256810520757898.html" TargetMode="External"/><Relationship Id="rId17" Type="http://schemas.openxmlformats.org/officeDocument/2006/relationships/hyperlink" Target="https://www.aliexpress.us/item/3256812330001421.html" TargetMode="External"/><Relationship Id="rId18" Type="http://schemas.openxmlformats.org/officeDocument/2006/relationships/hyperlink" Target="https://www.aliexpress.us/item/3256810225332254.html" TargetMode="External"/><Relationship Id="rId19" Type="http://schemas.openxmlformats.org/officeDocument/2006/relationships/hyperlink" Target="https://www.aliexpress.us/item/3256812338009231.html" TargetMode="External"/><Relationship Id="rId20" Type="http://schemas.openxmlformats.org/officeDocument/2006/relationships/hyperlink" Target="https://www.aliexpress.us/item/3256812750242513.html" TargetMode="External"/><Relationship Id="rId21" Type="http://schemas.openxmlformats.org/officeDocument/2006/relationships/hyperlink" Target="https://www.aliexpress.us/item/3256812758705689.html" TargetMode="External"/><Relationship Id="rId22" Type="http://schemas.openxmlformats.org/officeDocument/2006/relationships/hyperlink" Target="https://www.aliexpress.us/item/3256812754900173.html" TargetMode="External"/><Relationship Id="rId23" Type="http://schemas.openxmlformats.org/officeDocument/2006/relationships/hyperlink" Target="https://www.aliexpress.us/item/3256812628966029.html" TargetMode="External"/><Relationship Id="rId24" Type="http://schemas.openxmlformats.org/officeDocument/2006/relationships/hyperlink" Target="https://www.aliexpress.us/item/3256805874195736.html" TargetMode="External"/><Relationship Id="rId25" Type="http://schemas.openxmlformats.org/officeDocument/2006/relationships/hyperlink" Target="https://www.aliexpress.us/item/3256811449048467.html" TargetMode="External"/><Relationship Id="rId26" Type="http://schemas.openxmlformats.org/officeDocument/2006/relationships/hyperlink" Target="https://www.aliexpress.us/item/3256808663430353.html" TargetMode="External"/><Relationship Id="rId27" Type="http://schemas.openxmlformats.org/officeDocument/2006/relationships/drawing" Target="../drawings/drawing2.xml"/><Relationship Id="rId28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liexpress.us/item/3256808377788817.html" TargetMode="External"/><Relationship Id="rId2" Type="http://schemas.openxmlformats.org/officeDocument/2006/relationships/hyperlink" Target="https://www.aliexpress.us/item/3256808773363271.html" TargetMode="External"/><Relationship Id="rId3" Type="http://schemas.openxmlformats.org/officeDocument/2006/relationships/hyperlink" Target="https://www.aliexpress.us/item/3256808721594086.html" TargetMode="External"/><Relationship Id="rId4" Type="http://schemas.openxmlformats.org/officeDocument/2006/relationships/hyperlink" Target="https://www.aliexpress.us/item/3256808595918952.html" TargetMode="External"/><Relationship Id="rId5" Type="http://schemas.openxmlformats.org/officeDocument/2006/relationships/hyperlink" Target="https://www.aliexpress.us/item/3256808983936725.html" TargetMode="External"/><Relationship Id="rId6" Type="http://schemas.openxmlformats.org/officeDocument/2006/relationships/hyperlink" Target="https://www.aliexpress.us/item/3256808569545252.html" TargetMode="External"/><Relationship Id="rId7" Type="http://schemas.openxmlformats.org/officeDocument/2006/relationships/hyperlink" Target="https://www.aliexpress.us/item/3256808693472063.html" TargetMode="External"/><Relationship Id="rId8" Type="http://schemas.openxmlformats.org/officeDocument/2006/relationships/hyperlink" Target="https://www.aliexpress.us/item/3256808475465094.html" TargetMode="External"/><Relationship Id="rId9" Type="http://schemas.openxmlformats.org/officeDocument/2006/relationships/hyperlink" Target="https://www.aliexpress.us/item/3256808861160214.html" TargetMode="External"/><Relationship Id="rId10" Type="http://schemas.openxmlformats.org/officeDocument/2006/relationships/hyperlink" Target="https://www.aliexpress.us/item/3256806631135097.html" TargetMode="External"/><Relationship Id="rId11" Type="http://schemas.openxmlformats.org/officeDocument/2006/relationships/hyperlink" Target="https://www.aliexpress.us/item/3256811865490513.html" TargetMode="External"/><Relationship Id="rId12" Type="http://schemas.openxmlformats.org/officeDocument/2006/relationships/hyperlink" Target="https://www.aliexpress.us/item/3256808831506829.html" TargetMode="External"/><Relationship Id="rId13" Type="http://schemas.openxmlformats.org/officeDocument/2006/relationships/hyperlink" Target="https://www.aliexpress.us/item/3256805175122480.html" TargetMode="External"/><Relationship Id="rId14" Type="http://schemas.openxmlformats.org/officeDocument/2006/relationships/hyperlink" Target="https://www.aliexpress.us/item/3256809249629839.html" TargetMode="External"/><Relationship Id="rId15" Type="http://schemas.openxmlformats.org/officeDocument/2006/relationships/hyperlink" Target="https://www.aliexpress.us/item/3256805301332332.html" TargetMode="External"/><Relationship Id="rId16" Type="http://schemas.openxmlformats.org/officeDocument/2006/relationships/hyperlink" Target="https://www.aliexpress.us/item/3256806849477031.html" TargetMode="External"/><Relationship Id="rId17" Type="http://schemas.openxmlformats.org/officeDocument/2006/relationships/hyperlink" Target="https://www.aliexpress.us/item/3256806815264165.html" TargetMode="External"/><Relationship Id="rId18" Type="http://schemas.openxmlformats.org/officeDocument/2006/relationships/hyperlink" Target="https://www.aliexpress.us/item/3256808617573901.html" TargetMode="External"/><Relationship Id="rId19" Type="http://schemas.openxmlformats.org/officeDocument/2006/relationships/hyperlink" Target="https://www.aliexpress.us/item/3256809488004543.html" TargetMode="External"/><Relationship Id="rId20" Type="http://schemas.openxmlformats.org/officeDocument/2006/relationships/hyperlink" Target="https://www.aliexpress.us/item/3256807736331319.html" TargetMode="External"/><Relationship Id="rId21" Type="http://schemas.openxmlformats.org/officeDocument/2006/relationships/hyperlink" Target="https://www.aliexpress.us/item/3256808965698192.html" TargetMode="External"/><Relationship Id="rId22" Type="http://schemas.openxmlformats.org/officeDocument/2006/relationships/hyperlink" Target="https://www.aliexpress.us/item/3256807069116807.html" TargetMode="External"/><Relationship Id="rId23" Type="http://schemas.openxmlformats.org/officeDocument/2006/relationships/hyperlink" Target="https://www.aliexpress.us/item/3256809870048040.html" TargetMode="External"/><Relationship Id="rId24" Type="http://schemas.openxmlformats.org/officeDocument/2006/relationships/hyperlink" Target="https://www.aliexpress.us/item/3256808015751918.html" TargetMode="External"/><Relationship Id="rId25" Type="http://schemas.openxmlformats.org/officeDocument/2006/relationships/hyperlink" Target="https://www.aliexpress.us/item/3256807289133803.html" TargetMode="External"/><Relationship Id="rId26" Type="http://schemas.openxmlformats.org/officeDocument/2006/relationships/hyperlink" Target="https://www.aliexpress.us/item/3256805842536060.html" TargetMode="External"/><Relationship Id="rId27" Type="http://schemas.openxmlformats.org/officeDocument/2006/relationships/hyperlink" Target="https://www.aliexpress.us/item/3256808169846964.html" TargetMode="External"/><Relationship Id="rId28" Type="http://schemas.openxmlformats.org/officeDocument/2006/relationships/hyperlink" Target="https://www.aliexpress.us/item/3256805278746483.html" TargetMode="External"/><Relationship Id="rId29" Type="http://schemas.openxmlformats.org/officeDocument/2006/relationships/hyperlink" Target="https://www.aliexpress.us/item/3256810473624055.html" TargetMode="External"/><Relationship Id="rId30" Type="http://schemas.openxmlformats.org/officeDocument/2006/relationships/hyperlink" Target="https://www.aliexpress.us/item/3256808734348718.html" TargetMode="External"/><Relationship Id="rId31" Type="http://schemas.openxmlformats.org/officeDocument/2006/relationships/hyperlink" Target="https://www.aliexpress.us/item/3256806116480668.html" TargetMode="External"/><Relationship Id="rId32" Type="http://schemas.openxmlformats.org/officeDocument/2006/relationships/hyperlink" Target="https://www.aliexpress.us/item/3256809769990165.html" TargetMode="External"/><Relationship Id="rId33" Type="http://schemas.openxmlformats.org/officeDocument/2006/relationships/hyperlink" Target="https://www.aliexpress.us/item/3256807244799616.html" TargetMode="External"/><Relationship Id="rId34" Type="http://schemas.openxmlformats.org/officeDocument/2006/relationships/hyperlink" Target="https://www.aliexpress.us/item/3256805547496125.html" TargetMode="External"/><Relationship Id="rId35" Type="http://schemas.openxmlformats.org/officeDocument/2006/relationships/hyperlink" Target="https://www.aliexpress.us/item/3256808762754441.html" TargetMode="External"/><Relationship Id="rId36" Type="http://schemas.openxmlformats.org/officeDocument/2006/relationships/hyperlink" Target="https://www.aliexpress.us/item/3256801220077681.html" TargetMode="External"/><Relationship Id="rId37" Type="http://schemas.openxmlformats.org/officeDocument/2006/relationships/hyperlink" Target="https://www.aliexpress.us/item/3256806462743878.html" TargetMode="External"/><Relationship Id="rId38" Type="http://schemas.openxmlformats.org/officeDocument/2006/relationships/hyperlink" Target="https://www.aliexpress.us/item/3256810368072176.html" TargetMode="External"/><Relationship Id="rId39" Type="http://schemas.openxmlformats.org/officeDocument/2006/relationships/hyperlink" Target="https://www.aliexpress.us/item/3256802931658413.html" TargetMode="External"/><Relationship Id="rId40" Type="http://schemas.openxmlformats.org/officeDocument/2006/relationships/hyperlink" Target="https://www.aliexpress.us/item/3256807541522586.html" TargetMode="External"/><Relationship Id="rId41" Type="http://schemas.openxmlformats.org/officeDocument/2006/relationships/hyperlink" Target="https://www.aliexpress.us/item/3256811946430971.html" TargetMode="External"/><Relationship Id="rId42" Type="http://schemas.openxmlformats.org/officeDocument/2006/relationships/hyperlink" Target="https://www.aliexpress.us/item/3256808861433872.html" TargetMode="External"/><Relationship Id="rId43" Type="http://schemas.openxmlformats.org/officeDocument/2006/relationships/hyperlink" Target="https://www.aliexpress.us/item/3256809155276918.html" TargetMode="External"/><Relationship Id="rId44" Type="http://schemas.openxmlformats.org/officeDocument/2006/relationships/hyperlink" Target="https://www.aliexpress.us/item/3256809136022059.html" TargetMode="External"/><Relationship Id="rId45" Type="http://schemas.openxmlformats.org/officeDocument/2006/relationships/hyperlink" Target="https://www.aliexpress.us/item/3256808017554876.html" TargetMode="External"/><Relationship Id="rId46" Type="http://schemas.openxmlformats.org/officeDocument/2006/relationships/hyperlink" Target="https://www.aliexpress.us/item/3256806886521541.html" TargetMode="External"/><Relationship Id="rId47" Type="http://schemas.openxmlformats.org/officeDocument/2006/relationships/hyperlink" Target="https://www.aliexpress.us/item/3256806267678682.html" TargetMode="External"/><Relationship Id="rId48" Type="http://schemas.openxmlformats.org/officeDocument/2006/relationships/hyperlink" Target="https://www.aliexpress.us/item/3256808734140207.html" TargetMode="External"/><Relationship Id="rId49" Type="http://schemas.openxmlformats.org/officeDocument/2006/relationships/hyperlink" Target="https://www.aliexpress.us/item/3256808595641732.html" TargetMode="External"/><Relationship Id="rId50" Type="http://schemas.openxmlformats.org/officeDocument/2006/relationships/hyperlink" Target="https://www.aliexpress.us/item/3256806989799257.html" TargetMode="External"/><Relationship Id="rId51" Type="http://schemas.openxmlformats.org/officeDocument/2006/relationships/hyperlink" Target="https://www.aliexpress.us/item/3256806660195820.html" TargetMode="External"/><Relationship Id="rId52" Type="http://schemas.openxmlformats.org/officeDocument/2006/relationships/hyperlink" Target="https://www.aliexpress.us/item/3256806902768417.html" TargetMode="External"/><Relationship Id="rId53" Type="http://schemas.openxmlformats.org/officeDocument/2006/relationships/hyperlink" Target="https://www.aliexpress.us/item/3256811933498080.html" TargetMode="External"/><Relationship Id="rId54" Type="http://schemas.openxmlformats.org/officeDocument/2006/relationships/hyperlink" Target="https://www.aliexpress.us/item/3256806675441716.html" TargetMode="External"/><Relationship Id="rId55" Type="http://schemas.openxmlformats.org/officeDocument/2006/relationships/hyperlink" Target="https://www.aliexpress.us/item/3256808585503630.html" TargetMode="External"/><Relationship Id="rId56" Type="http://schemas.openxmlformats.org/officeDocument/2006/relationships/hyperlink" Target="https://www.aliexpress.us/item/3256809115554314.html" TargetMode="External"/><Relationship Id="rId57" Type="http://schemas.openxmlformats.org/officeDocument/2006/relationships/hyperlink" Target="https://www.aliexpress.us/item/3256805573832552.html" TargetMode="External"/><Relationship Id="rId58" Type="http://schemas.openxmlformats.org/officeDocument/2006/relationships/hyperlink" Target="https://www.aliexpress.us/item/3256807358241059.html" TargetMode="External"/><Relationship Id="rId59" Type="http://schemas.openxmlformats.org/officeDocument/2006/relationships/hyperlink" Target="https://www.aliexpress.us/item/3256806576576576.html" TargetMode="External"/><Relationship Id="rId60" Type="http://schemas.openxmlformats.org/officeDocument/2006/relationships/hyperlink" Target="https://www.aliexpress.us/item/3256808773426444.html" TargetMode="External"/><Relationship Id="rId61" Type="http://schemas.openxmlformats.org/officeDocument/2006/relationships/hyperlink" Target="https://www.aliexpress.us/item/3256806988531710.html" TargetMode="External"/><Relationship Id="rId62" Type="http://schemas.openxmlformats.org/officeDocument/2006/relationships/hyperlink" Target="https://www.aliexpress.us/item/3256812622347650.html" TargetMode="External"/><Relationship Id="rId63" Type="http://schemas.openxmlformats.org/officeDocument/2006/relationships/hyperlink" Target="https://www.aliexpress.us/item/3256805195937012.html" TargetMode="External"/><Relationship Id="rId64" Type="http://schemas.openxmlformats.org/officeDocument/2006/relationships/hyperlink" Target="https://www.aliexpress.us/item/3256811662651987.html" TargetMode="External"/><Relationship Id="rId65" Type="http://schemas.openxmlformats.org/officeDocument/2006/relationships/hyperlink" Target="https://www.aliexpress.us/item/3256809011415237.html" TargetMode="External"/><Relationship Id="rId66" Type="http://schemas.openxmlformats.org/officeDocument/2006/relationships/hyperlink" Target="https://www.aliexpress.us/item/3256808004531854.html" TargetMode="External"/><Relationship Id="rId67" Type="http://schemas.openxmlformats.org/officeDocument/2006/relationships/hyperlink" Target="https://www.aliexpress.us/item/3256808747888316.html" TargetMode="External"/><Relationship Id="rId68" Type="http://schemas.openxmlformats.org/officeDocument/2006/relationships/hyperlink" Target="https://www.aliexpress.us/item/3256811430721367.html" TargetMode="External"/><Relationship Id="rId69" Type="http://schemas.openxmlformats.org/officeDocument/2006/relationships/hyperlink" Target="https://www.aliexpress.us/item/3256808094624572.html" TargetMode="External"/><Relationship Id="rId70" Type="http://schemas.openxmlformats.org/officeDocument/2006/relationships/hyperlink" Target="https://www.aliexpress.us/item/3256807626258032.html" TargetMode="External"/><Relationship Id="rId71" Type="http://schemas.openxmlformats.org/officeDocument/2006/relationships/hyperlink" Target="https://www.aliexpress.us/item/3256809135729188.html" TargetMode="External"/><Relationship Id="rId72" Type="http://schemas.openxmlformats.org/officeDocument/2006/relationships/hyperlink" Target="https://www.aliexpress.us/item/3256805854440153.html" TargetMode="External"/><Relationship Id="rId73" Type="http://schemas.openxmlformats.org/officeDocument/2006/relationships/hyperlink" Target="https://www.aliexpress.us/item/3256808795291721.html" TargetMode="External"/><Relationship Id="rId74" Type="http://schemas.openxmlformats.org/officeDocument/2006/relationships/hyperlink" Target="https://www.aliexpress.us/item/3256810444576002.html" TargetMode="External"/><Relationship Id="rId75" Type="http://schemas.openxmlformats.org/officeDocument/2006/relationships/hyperlink" Target="https://www.aliexpress.us/item/3256806822077642.html" TargetMode="External"/><Relationship Id="rId76" Type="http://schemas.openxmlformats.org/officeDocument/2006/relationships/hyperlink" Target="https://www.aliexpress.us/item/3256808493464566.html" TargetMode="External"/><Relationship Id="rId77" Type="http://schemas.openxmlformats.org/officeDocument/2006/relationships/hyperlink" Target="https://www.aliexpress.us/item/3256807759843338.html" TargetMode="External"/><Relationship Id="rId78" Type="http://schemas.openxmlformats.org/officeDocument/2006/relationships/hyperlink" Target="https://www.aliexpress.us/item/3256802166130786.html" TargetMode="External"/><Relationship Id="rId79" Type="http://schemas.openxmlformats.org/officeDocument/2006/relationships/hyperlink" Target="https://www.aliexpress.us/item/3256810570722257.html" TargetMode="External"/><Relationship Id="rId80" Type="http://schemas.openxmlformats.org/officeDocument/2006/relationships/hyperlink" Target="https://www.aliexpress.us/item/3256810563498806.html" TargetMode="External"/><Relationship Id="rId81" Type="http://schemas.openxmlformats.org/officeDocument/2006/relationships/hyperlink" Target="https://www.aliexpress.us/item/3256807951227108.html" TargetMode="External"/><Relationship Id="rId82" Type="http://schemas.openxmlformats.org/officeDocument/2006/relationships/hyperlink" Target="https://www.aliexpress.us/item/3256810221997013.html" TargetMode="External"/><Relationship Id="rId83" Type="http://schemas.openxmlformats.org/officeDocument/2006/relationships/hyperlink" Target="https://www.aliexpress.us/item/3256808362436389.html" TargetMode="External"/><Relationship Id="rId84" Type="http://schemas.openxmlformats.org/officeDocument/2006/relationships/hyperlink" Target="https://www.aliexpress.us/item/3256806033229894.html" TargetMode="External"/><Relationship Id="rId85" Type="http://schemas.openxmlformats.org/officeDocument/2006/relationships/hyperlink" Target="https://www.aliexpress.us/item/3256810561222382.html" TargetMode="External"/><Relationship Id="rId86" Type="http://schemas.openxmlformats.org/officeDocument/2006/relationships/hyperlink" Target="https://www.aliexpress.us/item/3256812071732743.html" TargetMode="External"/><Relationship Id="rId87" Type="http://schemas.openxmlformats.org/officeDocument/2006/relationships/hyperlink" Target="https://www.aliexpress.us/item/3256808821280420.html" TargetMode="External"/><Relationship Id="rId88" Type="http://schemas.openxmlformats.org/officeDocument/2006/relationships/hyperlink" Target="https://www.aliexpress.us/item/3256811544331851.html" TargetMode="External"/><Relationship Id="rId89" Type="http://schemas.openxmlformats.org/officeDocument/2006/relationships/hyperlink" Target="https://www.aliexpress.us/item/3256803119202890.html" TargetMode="External"/><Relationship Id="rId90" Type="http://schemas.openxmlformats.org/officeDocument/2006/relationships/hyperlink" Target="https://www.aliexpress.us/item/3256803941389086.html" TargetMode="External"/><Relationship Id="rId91" Type="http://schemas.openxmlformats.org/officeDocument/2006/relationships/hyperlink" Target="https://www.aliexpress.us/item/2251832662710678.html" TargetMode="External"/><Relationship Id="rId92" Type="http://schemas.openxmlformats.org/officeDocument/2006/relationships/hyperlink" Target="https://www.aliexpress.us/item/3256811926985103.html" TargetMode="External"/><Relationship Id="rId93" Type="http://schemas.openxmlformats.org/officeDocument/2006/relationships/hyperlink" Target="https://www.aliexpress.us/item/3256805767678808.html" TargetMode="External"/><Relationship Id="rId94" Type="http://schemas.openxmlformats.org/officeDocument/2006/relationships/hyperlink" Target="https://www.aliexpress.us/item/3256807957955599.html" TargetMode="External"/><Relationship Id="rId95" Type="http://schemas.openxmlformats.org/officeDocument/2006/relationships/hyperlink" Target="https://www.aliexpress.us/item/3256811627394410.html" TargetMode="External"/><Relationship Id="rId96" Type="http://schemas.openxmlformats.org/officeDocument/2006/relationships/hyperlink" Target="https://www.aliexpress.us/item/3256809585305917.html" TargetMode="External"/><Relationship Id="rId97" Type="http://schemas.openxmlformats.org/officeDocument/2006/relationships/hyperlink" Target="https://www.aliexpress.us/item/3256808614296628.html" TargetMode="External"/><Relationship Id="rId98" Type="http://schemas.openxmlformats.org/officeDocument/2006/relationships/hyperlink" Target="https://www.aliexpress.us/item/3256808992733682.html" TargetMode="External"/><Relationship Id="rId99" Type="http://schemas.openxmlformats.org/officeDocument/2006/relationships/hyperlink" Target="https://www.aliexpress.us/item/3256810534186577.html" TargetMode="External"/><Relationship Id="rId100" Type="http://schemas.openxmlformats.org/officeDocument/2006/relationships/hyperlink" Target="https://www.aliexpress.us/item/3256804887520553.html" TargetMode="External"/><Relationship Id="rId101" Type="http://schemas.openxmlformats.org/officeDocument/2006/relationships/hyperlink" Target="https://www.aliexpress.us/item/3256811632558498.html" TargetMode="External"/><Relationship Id="rId102" Type="http://schemas.openxmlformats.org/officeDocument/2006/relationships/hyperlink" Target="https://www.aliexpress.us/item/3256805163417995.html" TargetMode="External"/><Relationship Id="rId103" Type="http://schemas.openxmlformats.org/officeDocument/2006/relationships/hyperlink" Target="https://www.aliexpress.us/item/3256808399778285.html" TargetMode="External"/><Relationship Id="rId104" Type="http://schemas.openxmlformats.org/officeDocument/2006/relationships/hyperlink" Target="https://www.aliexpress.us/item/3256805604421277.html" TargetMode="External"/><Relationship Id="rId105" Type="http://schemas.openxmlformats.org/officeDocument/2006/relationships/hyperlink" Target="https://www.aliexpress.us/item/3256807295033298.html" TargetMode="External"/><Relationship Id="rId106" Type="http://schemas.openxmlformats.org/officeDocument/2006/relationships/hyperlink" Target="https://www.aliexpress.us/item/3256809311543330.html" TargetMode="External"/><Relationship Id="rId107" Type="http://schemas.openxmlformats.org/officeDocument/2006/relationships/hyperlink" Target="https://www.aliexpress.us/item/3256807849866888.html" TargetMode="External"/><Relationship Id="rId108" Type="http://schemas.openxmlformats.org/officeDocument/2006/relationships/hyperlink" Target="https://www.aliexpress.us/item/3256810573749545.html" TargetMode="External"/><Relationship Id="rId109" Type="http://schemas.openxmlformats.org/officeDocument/2006/relationships/hyperlink" Target="https://www.aliexpress.us/item/3256807202535803.html" TargetMode="External"/><Relationship Id="rId110" Type="http://schemas.openxmlformats.org/officeDocument/2006/relationships/hyperlink" Target="https://www.aliexpress.us/item/3256808523285433.html" TargetMode="External"/><Relationship Id="rId111" Type="http://schemas.openxmlformats.org/officeDocument/2006/relationships/hyperlink" Target="https://www.aliexpress.us/item/3256802501144827.html" TargetMode="External"/><Relationship Id="rId112" Type="http://schemas.openxmlformats.org/officeDocument/2006/relationships/hyperlink" Target="https://www.aliexpress.us/item/3256810570933833.html" TargetMode="External"/><Relationship Id="rId113" Type="http://schemas.openxmlformats.org/officeDocument/2006/relationships/hyperlink" Target="https://www.aliexpress.us/item/3256809168313557.html" TargetMode="External"/><Relationship Id="rId114" Type="http://schemas.openxmlformats.org/officeDocument/2006/relationships/hyperlink" Target="https://www.aliexpress.us/item/3256805362610339.html" TargetMode="External"/><Relationship Id="rId115" Type="http://schemas.openxmlformats.org/officeDocument/2006/relationships/hyperlink" Target="https://www.aliexpress.us/item/3256810599242086.html" TargetMode="External"/><Relationship Id="rId116" Type="http://schemas.openxmlformats.org/officeDocument/2006/relationships/hyperlink" Target="https://www.aliexpress.us/item/3256805215062050.html" TargetMode="External"/><Relationship Id="rId117" Type="http://schemas.openxmlformats.org/officeDocument/2006/relationships/hyperlink" Target="https://www.aliexpress.us/item/3256812172752999.html" TargetMode="External"/><Relationship Id="rId118" Type="http://schemas.openxmlformats.org/officeDocument/2006/relationships/hyperlink" Target="https://www.aliexpress.us/item/3256810016908879.html" TargetMode="External"/><Relationship Id="rId119" Type="http://schemas.openxmlformats.org/officeDocument/2006/relationships/hyperlink" Target="https://www.aliexpress.us/item/3256808853310888.html" TargetMode="External"/><Relationship Id="rId120" Type="http://schemas.openxmlformats.org/officeDocument/2006/relationships/hyperlink" Target="https://www.aliexpress.us/item/3256805484015811.html" TargetMode="External"/><Relationship Id="rId121" Type="http://schemas.openxmlformats.org/officeDocument/2006/relationships/hyperlink" Target="https://www.aliexpress.us/item/3256811378119004.html" TargetMode="External"/><Relationship Id="rId122" Type="http://schemas.openxmlformats.org/officeDocument/2006/relationships/hyperlink" Target="https://www.aliexpress.us/item/3256808896707067.html" TargetMode="External"/><Relationship Id="rId123" Type="http://schemas.openxmlformats.org/officeDocument/2006/relationships/hyperlink" Target="https://www.aliexpress.us/item/3256808716891852.html" TargetMode="External"/><Relationship Id="rId124" Type="http://schemas.openxmlformats.org/officeDocument/2006/relationships/hyperlink" Target="https://www.aliexpress.us/item/3256809842407329.html" TargetMode="External"/><Relationship Id="rId125" Type="http://schemas.openxmlformats.org/officeDocument/2006/relationships/hyperlink" Target="https://www.aliexpress.us/item/3256807541035517.html" TargetMode="External"/><Relationship Id="rId126" Type="http://schemas.openxmlformats.org/officeDocument/2006/relationships/hyperlink" Target="https://www.aliexpress.us/item/3256803876691481.html" TargetMode="External"/><Relationship Id="rId127" Type="http://schemas.openxmlformats.org/officeDocument/2006/relationships/hyperlink" Target="https://www.aliexpress.us/item/3256811837327434.html" TargetMode="External"/><Relationship Id="rId128" Type="http://schemas.openxmlformats.org/officeDocument/2006/relationships/hyperlink" Target="https://www.aliexpress.us/item/3256808804705014.html" TargetMode="External"/><Relationship Id="rId129" Type="http://schemas.openxmlformats.org/officeDocument/2006/relationships/hyperlink" Target="https://www.aliexpress.us/item/3256808593295995.html" TargetMode="External"/><Relationship Id="rId130" Type="http://schemas.openxmlformats.org/officeDocument/2006/relationships/hyperlink" Target="https://www.aliexpress.us/item/3256811567782722.html" TargetMode="External"/><Relationship Id="rId131" Type="http://schemas.openxmlformats.org/officeDocument/2006/relationships/hyperlink" Target="https://www.aliexpress.us/item/3256812647322960.html" TargetMode="External"/><Relationship Id="rId132" Type="http://schemas.openxmlformats.org/officeDocument/2006/relationships/hyperlink" Target="https://www.aliexpress.us/item/3256805608816950.html" TargetMode="External"/><Relationship Id="rId133" Type="http://schemas.openxmlformats.org/officeDocument/2006/relationships/hyperlink" Target="https://www.aliexpress.us/item/3256811629463836.html" TargetMode="External"/><Relationship Id="rId134" Type="http://schemas.openxmlformats.org/officeDocument/2006/relationships/hyperlink" Target="https://www.aliexpress.us/item/3256811753540205.html" TargetMode="External"/><Relationship Id="rId135" Type="http://schemas.openxmlformats.org/officeDocument/2006/relationships/hyperlink" Target="https://www.aliexpress.us/item/3256808931929362.html" TargetMode="External"/><Relationship Id="rId136" Type="http://schemas.openxmlformats.org/officeDocument/2006/relationships/hyperlink" Target="https://www.aliexpress.us/item/3256810571514528.html" TargetMode="External"/><Relationship Id="rId137" Type="http://schemas.openxmlformats.org/officeDocument/2006/relationships/hyperlink" Target="https://www.aliexpress.us/item/3256811901449817.html" TargetMode="External"/><Relationship Id="rId138" Type="http://schemas.openxmlformats.org/officeDocument/2006/relationships/hyperlink" Target="https://www.aliexpress.us/item/3256812328719655.html" TargetMode="External"/><Relationship Id="rId139" Type="http://schemas.openxmlformats.org/officeDocument/2006/relationships/hyperlink" Target="https://www.aliexpress.us/item/3256808496684195.html" TargetMode="External"/><Relationship Id="rId140" Type="http://schemas.openxmlformats.org/officeDocument/2006/relationships/hyperlink" Target="https://www.aliexpress.us/item/3256807523143220.html" TargetMode="External"/><Relationship Id="rId141" Type="http://schemas.openxmlformats.org/officeDocument/2006/relationships/hyperlink" Target="https://www.aliexpress.us/item/3256810612022710.html" TargetMode="External"/><Relationship Id="rId142" Type="http://schemas.openxmlformats.org/officeDocument/2006/relationships/hyperlink" Target="https://www.aliexpress.us/item/3256810609651749.html" TargetMode="External"/><Relationship Id="rId143" Type="http://schemas.openxmlformats.org/officeDocument/2006/relationships/hyperlink" Target="https://www.aliexpress.us/item/3256808338100924.html" TargetMode="External"/><Relationship Id="rId144" Type="http://schemas.openxmlformats.org/officeDocument/2006/relationships/hyperlink" Target="https://www.aliexpress.us/item/3256807276076884.html" TargetMode="External"/><Relationship Id="rId145" Type="http://schemas.openxmlformats.org/officeDocument/2006/relationships/hyperlink" Target="https://www.aliexpress.us/item/3256802465401575.html" TargetMode="External"/><Relationship Id="rId146" Type="http://schemas.openxmlformats.org/officeDocument/2006/relationships/hyperlink" Target="https://www.aliexpress.us/item/3256810571345484.html" TargetMode="External"/><Relationship Id="rId147" Type="http://schemas.openxmlformats.org/officeDocument/2006/relationships/hyperlink" Target="https://www.aliexpress.us/item/3256811705337841.html" TargetMode="External"/><Relationship Id="rId148" Type="http://schemas.openxmlformats.org/officeDocument/2006/relationships/hyperlink" Target="https://www.aliexpress.us/item/3256812325057264.html" TargetMode="External"/><Relationship Id="rId149" Type="http://schemas.openxmlformats.org/officeDocument/2006/relationships/hyperlink" Target="https://www.aliexpress.us/item/3256811953813304.html" TargetMode="External"/><Relationship Id="rId150" Type="http://schemas.openxmlformats.org/officeDocument/2006/relationships/hyperlink" Target="https://www.aliexpress.us/item/3256809116471805.html" TargetMode="External"/><Relationship Id="rId151" Type="http://schemas.openxmlformats.org/officeDocument/2006/relationships/hyperlink" Target="https://www.aliexpress.us/item/3256811820795833.html" TargetMode="External"/><Relationship Id="rId152" Type="http://schemas.openxmlformats.org/officeDocument/2006/relationships/hyperlink" Target="https://www.aliexpress.us/item/3256809877248488.html" TargetMode="External"/><Relationship Id="rId153" Type="http://schemas.openxmlformats.org/officeDocument/2006/relationships/hyperlink" Target="https://www.aliexpress.us/item/3256812051524780.html" TargetMode="External"/><Relationship Id="rId154" Type="http://schemas.openxmlformats.org/officeDocument/2006/relationships/hyperlink" Target="https://www.aliexpress.us/item/2255801100615677.html" TargetMode="External"/><Relationship Id="rId155" Type="http://schemas.openxmlformats.org/officeDocument/2006/relationships/hyperlink" Target="https://www.aliexpress.us/item/3256809168133619.html" TargetMode="External"/><Relationship Id="rId156" Type="http://schemas.openxmlformats.org/officeDocument/2006/relationships/hyperlink" Target="https://www.aliexpress.us/item/3256811786987160.html" TargetMode="External"/><Relationship Id="rId157" Type="http://schemas.openxmlformats.org/officeDocument/2006/relationships/hyperlink" Target="https://www.aliexpress.us/item/3256811931273292.html" TargetMode="External"/><Relationship Id="rId158" Type="http://schemas.openxmlformats.org/officeDocument/2006/relationships/hyperlink" Target="https://www.aliexpress.us/item/3256807376032071.html" TargetMode="External"/><Relationship Id="rId159" Type="http://schemas.openxmlformats.org/officeDocument/2006/relationships/hyperlink" Target="https://www.aliexpress.us/item/3256803876016917.html" TargetMode="External"/><Relationship Id="rId160" Type="http://schemas.openxmlformats.org/officeDocument/2006/relationships/hyperlink" Target="https://www.aliexpress.us/item/3256811394744587.html" TargetMode="External"/><Relationship Id="rId161" Type="http://schemas.openxmlformats.org/officeDocument/2006/relationships/hyperlink" Target="https://www.aliexpress.us/item/3256809398281870.html" TargetMode="External"/><Relationship Id="rId162" Type="http://schemas.openxmlformats.org/officeDocument/2006/relationships/hyperlink" Target="https://www.aliexpress.us/item/3256811628610164.html" TargetMode="External"/><Relationship Id="rId163" Type="http://schemas.openxmlformats.org/officeDocument/2006/relationships/hyperlink" Target="https://www.aliexpress.us/item/3256808143364878.html" TargetMode="External"/><Relationship Id="rId164" Type="http://schemas.openxmlformats.org/officeDocument/2006/relationships/hyperlink" Target="https://www.aliexpress.us/item/3256812004317160.html" TargetMode="External"/><Relationship Id="rId165" Type="http://schemas.openxmlformats.org/officeDocument/2006/relationships/hyperlink" Target="https://www.aliexpress.us/item/3256809249449532.html" TargetMode="External"/><Relationship Id="rId166" Type="http://schemas.openxmlformats.org/officeDocument/2006/relationships/hyperlink" Target="https://www.aliexpress.us/item/3256810566957520.html" TargetMode="External"/><Relationship Id="rId167" Type="http://schemas.openxmlformats.org/officeDocument/2006/relationships/hyperlink" Target="https://www.aliexpress.us/item/3256801796991986.html" TargetMode="External"/><Relationship Id="rId168" Type="http://schemas.openxmlformats.org/officeDocument/2006/relationships/hyperlink" Target="https://www.aliexpress.us/item/3256812627785732.html" TargetMode="External"/><Relationship Id="rId169" Type="http://schemas.openxmlformats.org/officeDocument/2006/relationships/hyperlink" Target="https://www.aliexpress.us/item/3256811550754420.html" TargetMode="External"/><Relationship Id="rId170" Type="http://schemas.openxmlformats.org/officeDocument/2006/relationships/hyperlink" Target="https://www.aliexpress.us/item/3256805586588358.html" TargetMode="External"/><Relationship Id="rId171" Type="http://schemas.openxmlformats.org/officeDocument/2006/relationships/hyperlink" Target="https://www.aliexpress.us/item/3256809706152174.html" TargetMode="External"/><Relationship Id="rId172" Type="http://schemas.openxmlformats.org/officeDocument/2006/relationships/hyperlink" Target="https://www.aliexpress.us/item/2255800502818444.html" TargetMode="External"/><Relationship Id="rId173" Type="http://schemas.openxmlformats.org/officeDocument/2006/relationships/hyperlink" Target="https://www.aliexpress.us/item/3256810563270493.html" TargetMode="External"/><Relationship Id="rId174" Type="http://schemas.openxmlformats.org/officeDocument/2006/relationships/hyperlink" Target="https://www.aliexpress.us/item/3256812401970391.html" TargetMode="External"/><Relationship Id="rId175" Type="http://schemas.openxmlformats.org/officeDocument/2006/relationships/hyperlink" Target="https://www.aliexpress.us/item/3256811776798296.html" TargetMode="External"/><Relationship Id="rId176" Type="http://schemas.openxmlformats.org/officeDocument/2006/relationships/hyperlink" Target="https://www.aliexpress.us/item/3256812641833904.html" TargetMode="External"/><Relationship Id="rId177" Type="http://schemas.openxmlformats.org/officeDocument/2006/relationships/hyperlink" Target="https://www.aliexpress.us/item/3256811837992210.html" TargetMode="External"/><Relationship Id="rId178" Type="http://schemas.openxmlformats.org/officeDocument/2006/relationships/hyperlink" Target="https://www.aliexpress.us/item/3256809019907269.html" TargetMode="External"/><Relationship Id="rId179" Type="http://schemas.openxmlformats.org/officeDocument/2006/relationships/hyperlink" Target="https://www.aliexpress.us/item/3256811506282025.html" TargetMode="External"/><Relationship Id="rId180" Type="http://schemas.openxmlformats.org/officeDocument/2006/relationships/hyperlink" Target="https://www.aliexpress.us/item/3256809822539026.html" TargetMode="External"/><Relationship Id="rId181" Type="http://schemas.openxmlformats.org/officeDocument/2006/relationships/hyperlink" Target="https://www.aliexpress.us/item/3256809526917912.html" TargetMode="External"/><Relationship Id="rId182" Type="http://schemas.openxmlformats.org/officeDocument/2006/relationships/hyperlink" Target="https://www.aliexpress.us/item/3256808135986109.html" TargetMode="External"/><Relationship Id="rId183" Type="http://schemas.openxmlformats.org/officeDocument/2006/relationships/hyperlink" Target="https://www.aliexpress.us/item/3256807538944486.html" TargetMode="External"/><Relationship Id="rId184" Type="http://schemas.openxmlformats.org/officeDocument/2006/relationships/hyperlink" Target="https://www.aliexpress.us/item/3256808620114164.html" TargetMode="External"/><Relationship Id="rId185" Type="http://schemas.openxmlformats.org/officeDocument/2006/relationships/hyperlink" Target="https://www.aliexpress.us/item/3256812183135932.html" TargetMode="External"/><Relationship Id="rId186" Type="http://schemas.openxmlformats.org/officeDocument/2006/relationships/hyperlink" Target="https://www.aliexpress.us/item/3256809019910385.html" TargetMode="External"/><Relationship Id="rId187" Type="http://schemas.openxmlformats.org/officeDocument/2006/relationships/hyperlink" Target="https://www.aliexpress.us/item/3256810476102900.html" TargetMode="External"/><Relationship Id="rId188" Type="http://schemas.openxmlformats.org/officeDocument/2006/relationships/hyperlink" Target="https://www.aliexpress.us/item/3256808663262170.html" TargetMode="External"/><Relationship Id="rId189" Type="http://schemas.openxmlformats.org/officeDocument/2006/relationships/hyperlink" Target="https://www.aliexpress.us/item/3256803693988979.html" TargetMode="External"/><Relationship Id="rId190" Type="http://schemas.openxmlformats.org/officeDocument/2006/relationships/hyperlink" Target="https://www.aliexpress.us/item/3256809789229842.html" TargetMode="External"/><Relationship Id="rId191" Type="http://schemas.openxmlformats.org/officeDocument/2006/relationships/hyperlink" Target="https://www.aliexpress.us/item/3256812578400551.html" TargetMode="External"/><Relationship Id="rId192" Type="http://schemas.openxmlformats.org/officeDocument/2006/relationships/hyperlink" Target="https://www.aliexpress.us/item/3256806122084029.html" TargetMode="External"/><Relationship Id="rId193" Type="http://schemas.openxmlformats.org/officeDocument/2006/relationships/hyperlink" Target="https://www.aliexpress.us/item/3256809500074615.html" TargetMode="External"/><Relationship Id="rId194" Type="http://schemas.openxmlformats.org/officeDocument/2006/relationships/hyperlink" Target="https://www.aliexpress.us/item/3256809064798634.html" TargetMode="External"/><Relationship Id="rId195" Type="http://schemas.openxmlformats.org/officeDocument/2006/relationships/hyperlink" Target="https://www.aliexpress.us/item/3256802861337783.html" TargetMode="External"/><Relationship Id="rId196" Type="http://schemas.openxmlformats.org/officeDocument/2006/relationships/hyperlink" Target="https://www.aliexpress.us/item/3256812110300011.html" TargetMode="External"/><Relationship Id="rId197" Type="http://schemas.openxmlformats.org/officeDocument/2006/relationships/hyperlink" Target="https://www.aliexpress.us/item/3256805807711542.html" TargetMode="External"/><Relationship Id="rId198" Type="http://schemas.openxmlformats.org/officeDocument/2006/relationships/hyperlink" Target="https://www.aliexpress.us/item/3256811375046197.html" TargetMode="External"/><Relationship Id="rId199" Type="http://schemas.openxmlformats.org/officeDocument/2006/relationships/hyperlink" Target="https://www.aliexpress.us/item/3256811933348407.html" TargetMode="External"/><Relationship Id="rId200" Type="http://schemas.openxmlformats.org/officeDocument/2006/relationships/hyperlink" Target="https://www.aliexpress.us/item/3256812454858103.html" TargetMode="External"/><Relationship Id="rId201" Type="http://schemas.openxmlformats.org/officeDocument/2006/relationships/hyperlink" Target="https://www.aliexpress.us/item/3256811891388308.html" TargetMode="External"/><Relationship Id="rId202" Type="http://schemas.openxmlformats.org/officeDocument/2006/relationships/hyperlink" Target="https://www.aliexpress.us/item/3256808940979427.html" TargetMode="External"/><Relationship Id="rId203" Type="http://schemas.openxmlformats.org/officeDocument/2006/relationships/hyperlink" Target="https://www.aliexpress.us/item/3256811914852231.html" TargetMode="External"/><Relationship Id="rId204" Type="http://schemas.openxmlformats.org/officeDocument/2006/relationships/hyperlink" Target="https://www.aliexpress.us/item/3256812852478104.html" TargetMode="External"/><Relationship Id="rId205" Type="http://schemas.openxmlformats.org/officeDocument/2006/relationships/hyperlink" Target="https://www.aliexpress.us/item/3256807563249366.html" TargetMode="External"/><Relationship Id="rId206" Type="http://schemas.openxmlformats.org/officeDocument/2006/relationships/hyperlink" Target="https://www.aliexpress.us/item/3256811659005197.html" TargetMode="External"/><Relationship Id="rId207" Type="http://schemas.openxmlformats.org/officeDocument/2006/relationships/hyperlink" Target="https://www.aliexpress.us/item/3256805874184775.html" TargetMode="External"/><Relationship Id="rId208" Type="http://schemas.openxmlformats.org/officeDocument/2006/relationships/hyperlink" Target="https://www.aliexpress.us/item/3256812320468669.html" TargetMode="External"/><Relationship Id="rId209" Type="http://schemas.openxmlformats.org/officeDocument/2006/relationships/hyperlink" Target="https://www.aliexpress.us/item/3256812657581143.html" TargetMode="External"/><Relationship Id="rId210" Type="http://schemas.openxmlformats.org/officeDocument/2006/relationships/hyperlink" Target="https://www.aliexpress.us/item/3256805983909923.html" TargetMode="External"/><Relationship Id="rId211" Type="http://schemas.openxmlformats.org/officeDocument/2006/relationships/hyperlink" Target="https://www.aliexpress.us/item/3256808535400167.html" TargetMode="External"/><Relationship Id="rId212" Type="http://schemas.openxmlformats.org/officeDocument/2006/relationships/hyperlink" Target="https://www.aliexpress.us/item/3256811749462368.html" TargetMode="External"/><Relationship Id="rId213" Type="http://schemas.openxmlformats.org/officeDocument/2006/relationships/hyperlink" Target="https://www.aliexpress.us/item/3256807951255960.html" TargetMode="External"/><Relationship Id="rId214" Type="http://schemas.openxmlformats.org/officeDocument/2006/relationships/hyperlink" Target="https://www.aliexpress.us/item/3256810617656691.html" TargetMode="External"/><Relationship Id="rId215" Type="http://schemas.openxmlformats.org/officeDocument/2006/relationships/hyperlink" Target="https://www.aliexpress.us/item/3256811726467621.html" TargetMode="External"/><Relationship Id="rId216" Type="http://schemas.openxmlformats.org/officeDocument/2006/relationships/hyperlink" Target="https://www.aliexpress.us/item/3256812172872971.html" TargetMode="External"/><Relationship Id="rId217" Type="http://schemas.openxmlformats.org/officeDocument/2006/relationships/hyperlink" Target="https://www.aliexpress.us/item/3256811995151181.html" TargetMode="External"/><Relationship Id="rId218" Type="http://schemas.openxmlformats.org/officeDocument/2006/relationships/hyperlink" Target="https://www.aliexpress.us/item/3256809996641426.html" TargetMode="External"/><Relationship Id="rId219" Type="http://schemas.openxmlformats.org/officeDocument/2006/relationships/hyperlink" Target="https://www.aliexpress.us/item/3256811708415748.html" TargetMode="External"/><Relationship Id="rId220" Type="http://schemas.openxmlformats.org/officeDocument/2006/relationships/hyperlink" Target="https://www.aliexpress.us/item/3256807535969007.html" TargetMode="External"/><Relationship Id="rId221" Type="http://schemas.openxmlformats.org/officeDocument/2006/relationships/hyperlink" Target="https://www.aliexpress.us/item/3256809082625276.html" TargetMode="External"/><Relationship Id="rId222" Type="http://schemas.openxmlformats.org/officeDocument/2006/relationships/hyperlink" Target="https://www.aliexpress.us/item/3256809727193509.html" TargetMode="External"/><Relationship Id="rId223" Type="http://schemas.openxmlformats.org/officeDocument/2006/relationships/hyperlink" Target="https://www.aliexpress.us/item/3256807049278850.html" TargetMode="External"/><Relationship Id="rId224" Type="http://schemas.openxmlformats.org/officeDocument/2006/relationships/hyperlink" Target="https://www.aliexpress.us/item/3256804802065589.html" TargetMode="External"/><Relationship Id="rId225" Type="http://schemas.openxmlformats.org/officeDocument/2006/relationships/hyperlink" Target="https://www.aliexpress.us/item/3256811495667350.html" TargetMode="External"/><Relationship Id="rId226" Type="http://schemas.openxmlformats.org/officeDocument/2006/relationships/hyperlink" Target="https://www.aliexpress.us/item/3256808577284339.html" TargetMode="External"/><Relationship Id="rId227" Type="http://schemas.openxmlformats.org/officeDocument/2006/relationships/hyperlink" Target="https://www.aliexpress.us/item/3256810483782292.html" TargetMode="External"/><Relationship Id="rId228" Type="http://schemas.openxmlformats.org/officeDocument/2006/relationships/hyperlink" Target="https://www.aliexpress.us/item/3256811863939180.html" TargetMode="External"/><Relationship Id="rId229" Type="http://schemas.openxmlformats.org/officeDocument/2006/relationships/hyperlink" Target="https://www.aliexpress.us/item/3256808762678392.html" TargetMode="External"/><Relationship Id="rId230" Type="http://schemas.openxmlformats.org/officeDocument/2006/relationships/hyperlink" Target="https://www.aliexpress.us/item/3256805308678869.html" TargetMode="External"/><Relationship Id="rId231" Type="http://schemas.openxmlformats.org/officeDocument/2006/relationships/hyperlink" Target="https://www.aliexpress.us/item/3256808306954936.html" TargetMode="External"/><Relationship Id="rId232" Type="http://schemas.openxmlformats.org/officeDocument/2006/relationships/hyperlink" Target="https://www.aliexpress.us/item/3256812065674438.html" TargetMode="External"/><Relationship Id="rId233" Type="http://schemas.openxmlformats.org/officeDocument/2006/relationships/hyperlink" Target="https://www.aliexpress.us/item/3256812527349014.html" TargetMode="External"/><Relationship Id="rId234" Type="http://schemas.openxmlformats.org/officeDocument/2006/relationships/hyperlink" Target="https://www.aliexpress.us/item/3256810142437280.html" TargetMode="External"/><Relationship Id="rId235" Type="http://schemas.openxmlformats.org/officeDocument/2006/relationships/hyperlink" Target="https://www.aliexpress.us/item/3256812264348715.html" TargetMode="External"/><Relationship Id="rId236" Type="http://schemas.openxmlformats.org/officeDocument/2006/relationships/hyperlink" Target="https://www.aliexpress.us/item/3256805248036378.html" TargetMode="External"/><Relationship Id="rId237" Type="http://schemas.openxmlformats.org/officeDocument/2006/relationships/hyperlink" Target="https://www.aliexpress.us/item/3256806812734784.html" TargetMode="External"/><Relationship Id="rId238" Type="http://schemas.openxmlformats.org/officeDocument/2006/relationships/hyperlink" Target="https://www.aliexpress.us/item/3256810597382518.html" TargetMode="External"/><Relationship Id="rId239" Type="http://schemas.openxmlformats.org/officeDocument/2006/relationships/hyperlink" Target="https://www.aliexpress.us/item/3256812179365928.html" TargetMode="External"/><Relationship Id="rId240" Type="http://schemas.openxmlformats.org/officeDocument/2006/relationships/hyperlink" Target="https://www.aliexpress.us/item/3256812513410367.html" TargetMode="External"/><Relationship Id="rId241" Type="http://schemas.openxmlformats.org/officeDocument/2006/relationships/hyperlink" Target="https://www.aliexpress.us/item/3256809771961806.html" TargetMode="External"/><Relationship Id="rId242" Type="http://schemas.openxmlformats.org/officeDocument/2006/relationships/hyperlink" Target="https://www.aliexpress.us/item/3256809781538460.html" TargetMode="External"/><Relationship Id="rId243" Type="http://schemas.openxmlformats.org/officeDocument/2006/relationships/hyperlink" Target="https://www.aliexpress.us/item/3256806798166246.html" TargetMode="External"/><Relationship Id="rId244" Type="http://schemas.openxmlformats.org/officeDocument/2006/relationships/hyperlink" Target="https://www.aliexpress.us/item/3256807560798888.html" TargetMode="External"/><Relationship Id="rId245" Type="http://schemas.openxmlformats.org/officeDocument/2006/relationships/hyperlink" Target="https://www.aliexpress.us/item/3256808834733393.html" TargetMode="External"/><Relationship Id="rId246" Type="http://schemas.openxmlformats.org/officeDocument/2006/relationships/hyperlink" Target="https://www.aliexpress.us/item/3256812527886345.html" TargetMode="External"/><Relationship Id="rId247" Type="http://schemas.openxmlformats.org/officeDocument/2006/relationships/hyperlink" Target="https://www.aliexpress.us/item/3256804805755144.html" TargetMode="External"/><Relationship Id="rId248" Type="http://schemas.openxmlformats.org/officeDocument/2006/relationships/hyperlink" Target="https://www.aliexpress.us/item/3256807597880645.html" TargetMode="External"/><Relationship Id="rId249" Type="http://schemas.openxmlformats.org/officeDocument/2006/relationships/hyperlink" Target="https://www.aliexpress.us/item/3256810519877926.html" TargetMode="External"/><Relationship Id="rId250" Type="http://schemas.openxmlformats.org/officeDocument/2006/relationships/hyperlink" Target="https://www.aliexpress.us/item/3256811570400874.html" TargetMode="External"/><Relationship Id="rId251" Type="http://schemas.openxmlformats.org/officeDocument/2006/relationships/hyperlink" Target="https://www.aliexpress.us/item/3256808786120763.html" TargetMode="External"/><Relationship Id="rId252" Type="http://schemas.openxmlformats.org/officeDocument/2006/relationships/hyperlink" Target="https://www.aliexpress.us/item/3256808032059215.html" TargetMode="External"/><Relationship Id="rId253" Type="http://schemas.openxmlformats.org/officeDocument/2006/relationships/hyperlink" Target="https://www.aliexpress.us/item/3256810459244575.html" TargetMode="External"/><Relationship Id="rId254" Type="http://schemas.openxmlformats.org/officeDocument/2006/relationships/hyperlink" Target="https://www.aliexpress.us/item/3256808468630386.html" TargetMode="External"/><Relationship Id="rId255" Type="http://schemas.openxmlformats.org/officeDocument/2006/relationships/hyperlink" Target="https://www.aliexpress.us/item/3256812539025023.html" TargetMode="External"/><Relationship Id="rId256" Type="http://schemas.openxmlformats.org/officeDocument/2006/relationships/hyperlink" Target="https://www.aliexpress.us/item/3256807852573859.html" TargetMode="External"/><Relationship Id="rId257" Type="http://schemas.openxmlformats.org/officeDocument/2006/relationships/hyperlink" Target="https://www.aliexpress.us/item/3256805732789223.html" TargetMode="External"/><Relationship Id="rId258" Type="http://schemas.openxmlformats.org/officeDocument/2006/relationships/hyperlink" Target="https://www.aliexpress.us/item/3256811475173188.html" TargetMode="External"/><Relationship Id="rId259" Type="http://schemas.openxmlformats.org/officeDocument/2006/relationships/hyperlink" Target="https://www.aliexpress.us/item/3256808961336954.html" TargetMode="External"/><Relationship Id="rId260" Type="http://schemas.openxmlformats.org/officeDocument/2006/relationships/hyperlink" Target="https://www.aliexpress.us/item/3256812041513396.html" TargetMode="External"/><Relationship Id="rId261" Type="http://schemas.openxmlformats.org/officeDocument/2006/relationships/hyperlink" Target="https://www.aliexpress.us/item/3256806056883895.html" TargetMode="External"/><Relationship Id="rId262" Type="http://schemas.openxmlformats.org/officeDocument/2006/relationships/hyperlink" Target="https://www.aliexpress.us/item/3256805752522610.html" TargetMode="External"/><Relationship Id="rId263" Type="http://schemas.openxmlformats.org/officeDocument/2006/relationships/hyperlink" Target="https://www.aliexpress.us/item/3256811403658427.html" TargetMode="External"/><Relationship Id="rId264" Type="http://schemas.openxmlformats.org/officeDocument/2006/relationships/hyperlink" Target="https://www.aliexpress.us/item/3256812372893301.html" TargetMode="External"/><Relationship Id="rId265" Type="http://schemas.openxmlformats.org/officeDocument/2006/relationships/hyperlink" Target="https://www.aliexpress.us/item/3256807538603123.html" TargetMode="External"/><Relationship Id="rId266" Type="http://schemas.openxmlformats.org/officeDocument/2006/relationships/hyperlink" Target="https://www.aliexpress.us/item/3256812266776742.html" TargetMode="External"/><Relationship Id="rId267" Type="http://schemas.openxmlformats.org/officeDocument/2006/relationships/hyperlink" Target="https://www.aliexpress.us/item/3256809820673339.html" TargetMode="External"/><Relationship Id="rId268" Type="http://schemas.openxmlformats.org/officeDocument/2006/relationships/hyperlink" Target="https://www.aliexpress.us/item/3256812553599867.html" TargetMode="External"/><Relationship Id="rId269" Type="http://schemas.openxmlformats.org/officeDocument/2006/relationships/hyperlink" Target="https://www.aliexpress.us/item/3256811719534372.html" TargetMode="External"/><Relationship Id="rId270" Type="http://schemas.openxmlformats.org/officeDocument/2006/relationships/hyperlink" Target="https://www.aliexpress.us/item/3256809838417511.html" TargetMode="External"/><Relationship Id="rId271" Type="http://schemas.openxmlformats.org/officeDocument/2006/relationships/hyperlink" Target="https://www.aliexpress.us/item/3256805200156482.html" TargetMode="External"/><Relationship Id="rId272" Type="http://schemas.openxmlformats.org/officeDocument/2006/relationships/hyperlink" Target="https://www.aliexpress.us/item/3256811711677549.html" TargetMode="External"/><Relationship Id="rId273" Type="http://schemas.openxmlformats.org/officeDocument/2006/relationships/hyperlink" Target="https://www.aliexpress.us/item/3256808570449992.html" TargetMode="External"/><Relationship Id="rId274" Type="http://schemas.openxmlformats.org/officeDocument/2006/relationships/hyperlink" Target="https://www.aliexpress.us/item/3256807551424297.html" TargetMode="External"/><Relationship Id="rId275" Type="http://schemas.openxmlformats.org/officeDocument/2006/relationships/hyperlink" Target="https://www.aliexpress.us/item/3256805874195736.html" TargetMode="External"/><Relationship Id="rId276" Type="http://schemas.openxmlformats.org/officeDocument/2006/relationships/hyperlink" Target="https://www.aliexpress.us/item/3256812218911412.html" TargetMode="External"/><Relationship Id="rId277" Type="http://schemas.openxmlformats.org/officeDocument/2006/relationships/hyperlink" Target="https://www.aliexpress.us/item/3256809600149601.html" TargetMode="External"/><Relationship Id="rId278" Type="http://schemas.openxmlformats.org/officeDocument/2006/relationships/hyperlink" Target="https://www.aliexpress.us/item/3256809449657191.html" TargetMode="External"/><Relationship Id="rId279" Type="http://schemas.openxmlformats.org/officeDocument/2006/relationships/hyperlink" Target="https://www.aliexpress.us/item/3256807657267966.html" TargetMode="External"/><Relationship Id="rId280" Type="http://schemas.openxmlformats.org/officeDocument/2006/relationships/hyperlink" Target="https://www.aliexpress.us/item/3256808637422735.html" TargetMode="External"/><Relationship Id="rId281" Type="http://schemas.openxmlformats.org/officeDocument/2006/relationships/hyperlink" Target="https://www.aliexpress.us/item/3256809277237852.html" TargetMode="External"/><Relationship Id="rId282" Type="http://schemas.openxmlformats.org/officeDocument/2006/relationships/hyperlink" Target="https://www.aliexpress.us/item/3256807295785222.html" TargetMode="External"/><Relationship Id="rId283" Type="http://schemas.openxmlformats.org/officeDocument/2006/relationships/hyperlink" Target="https://www.aliexpress.us/item/3256808956521564.html" TargetMode="External"/><Relationship Id="rId284" Type="http://schemas.openxmlformats.org/officeDocument/2006/relationships/hyperlink" Target="https://www.aliexpress.us/item/3256808283832123.html" TargetMode="External"/><Relationship Id="rId285" Type="http://schemas.openxmlformats.org/officeDocument/2006/relationships/hyperlink" Target="https://www.aliexpress.us/item/3256808407690931.html" TargetMode="External"/><Relationship Id="rId286" Type="http://schemas.openxmlformats.org/officeDocument/2006/relationships/hyperlink" Target="https://www.aliexpress.us/item/3256803301164688.html" TargetMode="External"/><Relationship Id="rId287" Type="http://schemas.openxmlformats.org/officeDocument/2006/relationships/hyperlink" Target="https://www.aliexpress.us/item/3256806922703444.html" TargetMode="External"/><Relationship Id="rId288" Type="http://schemas.openxmlformats.org/officeDocument/2006/relationships/hyperlink" Target="https://www.aliexpress.us/item/3256811759891971.html" TargetMode="External"/><Relationship Id="rId289" Type="http://schemas.openxmlformats.org/officeDocument/2006/relationships/hyperlink" Target="https://www.aliexpress.us/item/3256812117117703.html" TargetMode="External"/><Relationship Id="rId290" Type="http://schemas.openxmlformats.org/officeDocument/2006/relationships/hyperlink" Target="https://www.aliexpress.us/item/3256808570451774.html" TargetMode="External"/><Relationship Id="rId291" Type="http://schemas.openxmlformats.org/officeDocument/2006/relationships/hyperlink" Target="https://www.aliexpress.us/item/3256808612836778.html" TargetMode="External"/><Relationship Id="rId292" Type="http://schemas.openxmlformats.org/officeDocument/2006/relationships/hyperlink" Target="https://www.aliexpress.us/item/3256809196806958.html" TargetMode="External"/><Relationship Id="rId293" Type="http://schemas.openxmlformats.org/officeDocument/2006/relationships/hyperlink" Target="https://www.aliexpress.us/item/3256806262112169.html" TargetMode="External"/><Relationship Id="rId294" Type="http://schemas.openxmlformats.org/officeDocument/2006/relationships/hyperlink" Target="https://www.aliexpress.us/item/3256812397177352.html" TargetMode="External"/><Relationship Id="rId295" Type="http://schemas.openxmlformats.org/officeDocument/2006/relationships/hyperlink" Target="https://www.aliexpress.us/item/3256809624807162.html" TargetMode="External"/><Relationship Id="rId296" Type="http://schemas.openxmlformats.org/officeDocument/2006/relationships/hyperlink" Target="https://www.aliexpress.us/item/3256812408353049.html" TargetMode="External"/><Relationship Id="rId297" Type="http://schemas.openxmlformats.org/officeDocument/2006/relationships/hyperlink" Target="https://www.aliexpress.us/item/3256807845898746.html" TargetMode="External"/><Relationship Id="rId298" Type="http://schemas.openxmlformats.org/officeDocument/2006/relationships/hyperlink" Target="https://www.aliexpress.us/item/3256812050338859.html" TargetMode="External"/><Relationship Id="rId299" Type="http://schemas.openxmlformats.org/officeDocument/2006/relationships/hyperlink" Target="https://www.aliexpress.us/item/3256808675453350.html" TargetMode="External"/><Relationship Id="rId300" Type="http://schemas.openxmlformats.org/officeDocument/2006/relationships/hyperlink" Target="https://www.aliexpress.us/item/3256811700061579.html" TargetMode="External"/><Relationship Id="rId301" Type="http://schemas.openxmlformats.org/officeDocument/2006/relationships/hyperlink" Target="https://www.aliexpress.us/item/3256804790820318.html" TargetMode="External"/><Relationship Id="rId302" Type="http://schemas.openxmlformats.org/officeDocument/2006/relationships/hyperlink" Target="https://www.aliexpress.us/item/3256811551659448.html" TargetMode="External"/><Relationship Id="rId303" Type="http://schemas.openxmlformats.org/officeDocument/2006/relationships/hyperlink" Target="https://www.aliexpress.us/item/3256808139171597.html" TargetMode="External"/><Relationship Id="rId304" Type="http://schemas.openxmlformats.org/officeDocument/2006/relationships/hyperlink" Target="https://www.aliexpress.us/item/3256812870393785.html" TargetMode="External"/><Relationship Id="rId305" Type="http://schemas.openxmlformats.org/officeDocument/2006/relationships/hyperlink" Target="https://www.aliexpress.us/item/3256808640595305.html" TargetMode="External"/><Relationship Id="rId306" Type="http://schemas.openxmlformats.org/officeDocument/2006/relationships/hyperlink" Target="https://www.aliexpress.us/item/3256812386336074.html" TargetMode="External"/><Relationship Id="rId307" Type="http://schemas.openxmlformats.org/officeDocument/2006/relationships/hyperlink" Target="https://www.aliexpress.us/item/3256806460693547.html" TargetMode="External"/><Relationship Id="rId308" Type="http://schemas.openxmlformats.org/officeDocument/2006/relationships/hyperlink" Target="https://www.aliexpress.us/item/3256812499326163.html" TargetMode="External"/><Relationship Id="rId309" Type="http://schemas.openxmlformats.org/officeDocument/2006/relationships/hyperlink" Target="https://www.aliexpress.us/item/3256809806883586.html" TargetMode="External"/><Relationship Id="rId310" Type="http://schemas.openxmlformats.org/officeDocument/2006/relationships/hyperlink" Target="https://www.aliexpress.us/item/3256805805178119.html" TargetMode="External"/><Relationship Id="rId311" Type="http://schemas.openxmlformats.org/officeDocument/2006/relationships/hyperlink" Target="https://www.aliexpress.us/item/3256810467513571.html" TargetMode="External"/><Relationship Id="rId312" Type="http://schemas.openxmlformats.org/officeDocument/2006/relationships/hyperlink" Target="https://www.aliexpress.us/item/3256809054589378.html" TargetMode="External"/><Relationship Id="rId313" Type="http://schemas.openxmlformats.org/officeDocument/2006/relationships/hyperlink" Target="https://www.aliexpress.us/item/3256812286598987.html" TargetMode="External"/><Relationship Id="rId314" Type="http://schemas.openxmlformats.org/officeDocument/2006/relationships/hyperlink" Target="https://www.aliexpress.us/item/3256809389584082.html" TargetMode="External"/><Relationship Id="rId315" Type="http://schemas.openxmlformats.org/officeDocument/2006/relationships/hyperlink" Target="https://www.aliexpress.us/item/3256812391079327.html" TargetMode="External"/><Relationship Id="rId316" Type="http://schemas.openxmlformats.org/officeDocument/2006/relationships/hyperlink" Target="https://www.aliexpress.us/item/3256805975354737.html" TargetMode="External"/><Relationship Id="rId317" Type="http://schemas.openxmlformats.org/officeDocument/2006/relationships/hyperlink" Target="https://www.aliexpress.us/item/3256811822383987.html" TargetMode="External"/><Relationship Id="rId318" Type="http://schemas.openxmlformats.org/officeDocument/2006/relationships/hyperlink" Target="https://www.aliexpress.us/item/3256803951263285.html" TargetMode="External"/><Relationship Id="rId319" Type="http://schemas.openxmlformats.org/officeDocument/2006/relationships/hyperlink" Target="https://www.aliexpress.us/item/3256806779927596.html" TargetMode="External"/><Relationship Id="rId320" Type="http://schemas.openxmlformats.org/officeDocument/2006/relationships/hyperlink" Target="https://www.aliexpress.us/item/3256811989283690.html" TargetMode="External"/><Relationship Id="rId321" Type="http://schemas.openxmlformats.org/officeDocument/2006/relationships/hyperlink" Target="https://www.aliexpress.us/item/3256806663679901.html" TargetMode="External"/><Relationship Id="rId322" Type="http://schemas.openxmlformats.org/officeDocument/2006/relationships/hyperlink" Target="https://www.aliexpress.us/item/3256807154663886.html" TargetMode="External"/><Relationship Id="rId323" Type="http://schemas.openxmlformats.org/officeDocument/2006/relationships/hyperlink" Target="https://www.aliexpress.us/item/3256808213262342.html" TargetMode="External"/><Relationship Id="rId324" Type="http://schemas.openxmlformats.org/officeDocument/2006/relationships/hyperlink" Target="https://www.aliexpress.us/item/3256812366182772.html" TargetMode="External"/><Relationship Id="rId325" Type="http://schemas.openxmlformats.org/officeDocument/2006/relationships/hyperlink" Target="https://www.aliexpress.us/item/3256806120028663.html" TargetMode="External"/><Relationship Id="rId326" Type="http://schemas.openxmlformats.org/officeDocument/2006/relationships/hyperlink" Target="https://www.aliexpress.us/item/3256811687049178.html" TargetMode="External"/><Relationship Id="rId327" Type="http://schemas.openxmlformats.org/officeDocument/2006/relationships/hyperlink" Target="https://www.aliexpress.us/item/3256812666513451.html" TargetMode="External"/><Relationship Id="rId328" Type="http://schemas.openxmlformats.org/officeDocument/2006/relationships/hyperlink" Target="https://www.aliexpress.us/item/3256811641413292.html" TargetMode="External"/><Relationship Id="rId329" Type="http://schemas.openxmlformats.org/officeDocument/2006/relationships/hyperlink" Target="https://www.aliexpress.us/item/3256806805928660.html" TargetMode="External"/><Relationship Id="rId330" Type="http://schemas.openxmlformats.org/officeDocument/2006/relationships/hyperlink" Target="https://www.aliexpress.us/item/3256808907640013.html" TargetMode="External"/><Relationship Id="rId331" Type="http://schemas.openxmlformats.org/officeDocument/2006/relationships/hyperlink" Target="https://www.aliexpress.us/item/3256812214702948.html" TargetMode="External"/><Relationship Id="rId332" Type="http://schemas.openxmlformats.org/officeDocument/2006/relationships/hyperlink" Target="https://www.aliexpress.us/item/3256807832549746.html" TargetMode="External"/><Relationship Id="rId333" Type="http://schemas.openxmlformats.org/officeDocument/2006/relationships/hyperlink" Target="https://www.aliexpress.us/item/3256809006035539.html" TargetMode="External"/><Relationship Id="rId334" Type="http://schemas.openxmlformats.org/officeDocument/2006/relationships/hyperlink" Target="https://www.aliexpress.us/item/3256809632158612.html" TargetMode="External"/><Relationship Id="rId335" Type="http://schemas.openxmlformats.org/officeDocument/2006/relationships/hyperlink" Target="https://www.aliexpress.us/item/3256807195793317.html" TargetMode="External"/><Relationship Id="rId336" Type="http://schemas.openxmlformats.org/officeDocument/2006/relationships/hyperlink" Target="https://www.aliexpress.us/item/3256810343077992.html" TargetMode="External"/><Relationship Id="rId337" Type="http://schemas.openxmlformats.org/officeDocument/2006/relationships/hyperlink" Target="https://www.aliexpress.us/item/3256809879080584.html" TargetMode="External"/><Relationship Id="rId338" Type="http://schemas.openxmlformats.org/officeDocument/2006/relationships/hyperlink" Target="https://www.aliexpress.us/item/3256808645856477.html" TargetMode="External"/><Relationship Id="rId339" Type="http://schemas.openxmlformats.org/officeDocument/2006/relationships/hyperlink" Target="https://www.aliexpress.us/item/3256811890379391.html" TargetMode="External"/><Relationship Id="rId340" Type="http://schemas.openxmlformats.org/officeDocument/2006/relationships/hyperlink" Target="https://www.aliexpress.us/item/3256812223528410.html" TargetMode="External"/><Relationship Id="rId341" Type="http://schemas.openxmlformats.org/officeDocument/2006/relationships/hyperlink" Target="https://www.aliexpress.us/item/3256812462478450.html" TargetMode="External"/><Relationship Id="rId342" Type="http://schemas.openxmlformats.org/officeDocument/2006/relationships/hyperlink" Target="https://www.aliexpress.us/item/3256812659731092.html" TargetMode="External"/><Relationship Id="rId343" Type="http://schemas.openxmlformats.org/officeDocument/2006/relationships/hyperlink" Target="https://www.aliexpress.us/item/3256809536770069.html" TargetMode="External"/><Relationship Id="rId344" Type="http://schemas.openxmlformats.org/officeDocument/2006/relationships/hyperlink" Target="https://www.aliexpress.us/item/3256805482044715.html" TargetMode="External"/><Relationship Id="rId345" Type="http://schemas.openxmlformats.org/officeDocument/2006/relationships/hyperlink" Target="https://www.aliexpress.us/item/3256810258101866.html" TargetMode="External"/><Relationship Id="rId346" Type="http://schemas.openxmlformats.org/officeDocument/2006/relationships/hyperlink" Target="https://www.aliexpress.us/item/3256812551948328.html" TargetMode="External"/><Relationship Id="rId347" Type="http://schemas.openxmlformats.org/officeDocument/2006/relationships/hyperlink" Target="https://www.aliexpress.us/item/3256807195665083.html" TargetMode="External"/><Relationship Id="rId348" Type="http://schemas.openxmlformats.org/officeDocument/2006/relationships/hyperlink" Target="https://www.aliexpress.us/item/3256810453924506.html" TargetMode="External"/><Relationship Id="rId349" Type="http://schemas.openxmlformats.org/officeDocument/2006/relationships/hyperlink" Target="https://www.aliexpress.us/item/3256812751897736.html" TargetMode="External"/><Relationship Id="rId350" Type="http://schemas.openxmlformats.org/officeDocument/2006/relationships/hyperlink" Target="https://www.aliexpress.us/item/3256812559026260.html" TargetMode="External"/><Relationship Id="rId351" Type="http://schemas.openxmlformats.org/officeDocument/2006/relationships/hyperlink" Target="https://www.aliexpress.us/item/3256809434399250.html" TargetMode="External"/><Relationship Id="rId352" Type="http://schemas.openxmlformats.org/officeDocument/2006/relationships/hyperlink" Target="https://www.aliexpress.us/item/3256805907122060.html" TargetMode="External"/><Relationship Id="rId353" Type="http://schemas.openxmlformats.org/officeDocument/2006/relationships/hyperlink" Target="https://www.aliexpress.us/item/3256810094313529.html" TargetMode="External"/><Relationship Id="rId354" Type="http://schemas.openxmlformats.org/officeDocument/2006/relationships/hyperlink" Target="https://www.aliexpress.us/item/3256811894941697.html" TargetMode="External"/><Relationship Id="rId355" Type="http://schemas.openxmlformats.org/officeDocument/2006/relationships/hyperlink" Target="https://www.aliexpress.us/item/3256812758260194.html" TargetMode="External"/><Relationship Id="rId356" Type="http://schemas.openxmlformats.org/officeDocument/2006/relationships/hyperlink" Target="https://www.aliexpress.us/item/3256812816982381.html" TargetMode="External"/><Relationship Id="rId357" Type="http://schemas.openxmlformats.org/officeDocument/2006/relationships/hyperlink" Target="https://www.aliexpress.us/item/3256812041726547.html" TargetMode="External"/><Relationship Id="rId358" Type="http://schemas.openxmlformats.org/officeDocument/2006/relationships/hyperlink" Target="https://www.aliexpress.us/item/3256809407682033.html" TargetMode="External"/><Relationship Id="rId359" Type="http://schemas.openxmlformats.org/officeDocument/2006/relationships/hyperlink" Target="https://www.aliexpress.us/item/3256811678370787.html" TargetMode="External"/><Relationship Id="rId360" Type="http://schemas.openxmlformats.org/officeDocument/2006/relationships/hyperlink" Target="https://www.aliexpress.us/item/3256808535236784.html" TargetMode="External"/><Relationship Id="rId361" Type="http://schemas.openxmlformats.org/officeDocument/2006/relationships/hyperlink" Target="https://www.aliexpress.us/item/3256812611188220.html" TargetMode="External"/><Relationship Id="rId362" Type="http://schemas.openxmlformats.org/officeDocument/2006/relationships/hyperlink" Target="https://www.aliexpress.us/item/3256808110594054.html" TargetMode="External"/><Relationship Id="rId363" Type="http://schemas.openxmlformats.org/officeDocument/2006/relationships/hyperlink" Target="https://www.aliexpress.us/item/3256807426964205.html" TargetMode="External"/><Relationship Id="rId364" Type="http://schemas.openxmlformats.org/officeDocument/2006/relationships/hyperlink" Target="https://www.aliexpress.us/item/3256806700534123.html" TargetMode="External"/><Relationship Id="rId365" Type="http://schemas.openxmlformats.org/officeDocument/2006/relationships/hyperlink" Target="https://www.aliexpress.us/item/3256809002022468.html" TargetMode="External"/><Relationship Id="rId366" Type="http://schemas.openxmlformats.org/officeDocument/2006/relationships/hyperlink" Target="https://www.aliexpress.us/item/3256810053427851.html" TargetMode="External"/><Relationship Id="rId367" Type="http://schemas.openxmlformats.org/officeDocument/2006/relationships/hyperlink" Target="https://www.aliexpress.us/item/3256807195808300.html" TargetMode="External"/><Relationship Id="rId368" Type="http://schemas.openxmlformats.org/officeDocument/2006/relationships/hyperlink" Target="https://www.aliexpress.us/item/3256812741930547.html" TargetMode="External"/><Relationship Id="rId369" Type="http://schemas.openxmlformats.org/officeDocument/2006/relationships/hyperlink" Target="https://www.aliexpress.us/item/3256805972597470.html" TargetMode="External"/><Relationship Id="rId370" Type="http://schemas.openxmlformats.org/officeDocument/2006/relationships/hyperlink" Target="https://www.aliexpress.us/item/3256808576674458.html" TargetMode="External"/><Relationship Id="rId371" Type="http://schemas.openxmlformats.org/officeDocument/2006/relationships/hyperlink" Target="https://www.aliexpress.us/item/3256809135954935.html" TargetMode="External"/><Relationship Id="rId372" Type="http://schemas.openxmlformats.org/officeDocument/2006/relationships/hyperlink" Target="https://www.aliexpress.us/item/3256811759714099.html" TargetMode="External"/><Relationship Id="rId373" Type="http://schemas.openxmlformats.org/officeDocument/2006/relationships/hyperlink" Target="https://www.aliexpress.us/item/3256807396161817.html" TargetMode="External"/><Relationship Id="rId374" Type="http://schemas.openxmlformats.org/officeDocument/2006/relationships/hyperlink" Target="https://www.aliexpress.us/item/3256808734092284.html" TargetMode="External"/><Relationship Id="rId375" Type="http://schemas.openxmlformats.org/officeDocument/2006/relationships/hyperlink" Target="https://www.aliexpress.us/item/3256810055427618.html" TargetMode="External"/><Relationship Id="rId376" Type="http://schemas.openxmlformats.org/officeDocument/2006/relationships/hyperlink" Target="https://www.aliexpress.us/item/3256812218652121.html" TargetMode="External"/><Relationship Id="rId377" Type="http://schemas.openxmlformats.org/officeDocument/2006/relationships/hyperlink" Target="https://www.aliexpress.us/item/3256812271207902.html" TargetMode="External"/><Relationship Id="rId378" Type="http://schemas.openxmlformats.org/officeDocument/2006/relationships/hyperlink" Target="https://www.aliexpress.us/item/3256812031462618.html" TargetMode="External"/><Relationship Id="rId379" Type="http://schemas.openxmlformats.org/officeDocument/2006/relationships/hyperlink" Target="https://www.aliexpress.us/item/3256812767247190.html" TargetMode="External"/><Relationship Id="rId380" Type="http://schemas.openxmlformats.org/officeDocument/2006/relationships/hyperlink" Target="https://www.aliexpress.us/item/3256812750242513.html" TargetMode="External"/><Relationship Id="rId381" Type="http://schemas.openxmlformats.org/officeDocument/2006/relationships/hyperlink" Target="https://www.aliexpress.us/item/3256812679618336.html" TargetMode="External"/><Relationship Id="rId382" Type="http://schemas.openxmlformats.org/officeDocument/2006/relationships/hyperlink" Target="https://www.aliexpress.us/item/3256812750101166.html" TargetMode="External"/><Relationship Id="rId383" Type="http://schemas.openxmlformats.org/officeDocument/2006/relationships/hyperlink" Target="https://www.aliexpress.us/item/3256812930330589.html" TargetMode="External"/><Relationship Id="rId384" Type="http://schemas.openxmlformats.org/officeDocument/2006/relationships/hyperlink" Target="https://www.aliexpress.us/item/3256808535459826.html" TargetMode="External"/><Relationship Id="rId385" Type="http://schemas.openxmlformats.org/officeDocument/2006/relationships/hyperlink" Target="https://www.aliexpress.us/item/3256811522132253.html" TargetMode="External"/><Relationship Id="rId386" Type="http://schemas.openxmlformats.org/officeDocument/2006/relationships/hyperlink" Target="https://www.aliexpress.us/item/3256805939778716.html" TargetMode="External"/><Relationship Id="rId387" Type="http://schemas.openxmlformats.org/officeDocument/2006/relationships/hyperlink" Target="https://www.aliexpress.us/item/3256807396204119.html" TargetMode="External"/><Relationship Id="rId388" Type="http://schemas.openxmlformats.org/officeDocument/2006/relationships/hyperlink" Target="https://www.aliexpress.us/item/3256806696138650.html" TargetMode="External"/><Relationship Id="rId389" Type="http://schemas.openxmlformats.org/officeDocument/2006/relationships/hyperlink" Target="https://www.aliexpress.us/item/3256812424507556.html" TargetMode="External"/><Relationship Id="rId390" Type="http://schemas.openxmlformats.org/officeDocument/2006/relationships/hyperlink" Target="https://www.aliexpress.us/item/3256806761353999.html" TargetMode="External"/><Relationship Id="rId391" Type="http://schemas.openxmlformats.org/officeDocument/2006/relationships/hyperlink" Target="https://www.aliexpress.us/item/3256806978461447.html" TargetMode="External"/><Relationship Id="rId392" Type="http://schemas.openxmlformats.org/officeDocument/2006/relationships/hyperlink" Target="https://www.aliexpress.us/item/3256804808088038.html" TargetMode="External"/><Relationship Id="rId393" Type="http://schemas.openxmlformats.org/officeDocument/2006/relationships/hyperlink" Target="https://www.aliexpress.us/item/3256808180730019.html" TargetMode="External"/><Relationship Id="rId394" Type="http://schemas.openxmlformats.org/officeDocument/2006/relationships/hyperlink" Target="https://www.aliexpress.us/item/3256804382873812.html" TargetMode="External"/><Relationship Id="rId395" Type="http://schemas.openxmlformats.org/officeDocument/2006/relationships/hyperlink" Target="https://www.aliexpress.us/item/3256808555766711.html" TargetMode="External"/><Relationship Id="rId396" Type="http://schemas.openxmlformats.org/officeDocument/2006/relationships/hyperlink" Target="https://www.aliexpress.us/item/2251832648778075.html" TargetMode="External"/><Relationship Id="rId397" Type="http://schemas.openxmlformats.org/officeDocument/2006/relationships/hyperlink" Target="https://www.aliexpress.us/item/3256809924615370.html" TargetMode="External"/><Relationship Id="rId398" Type="http://schemas.openxmlformats.org/officeDocument/2006/relationships/hyperlink" Target="https://www.aliexpress.us/item/3256811764561729.html" TargetMode="External"/><Relationship Id="rId399" Type="http://schemas.openxmlformats.org/officeDocument/2006/relationships/hyperlink" Target="https://www.aliexpress.us/item/3256808639869577.html" TargetMode="External"/><Relationship Id="rId400" Type="http://schemas.openxmlformats.org/officeDocument/2006/relationships/hyperlink" Target="https://www.aliexpress.us/item/3256809685713697.html" TargetMode="External"/><Relationship Id="rId401" Type="http://schemas.openxmlformats.org/officeDocument/2006/relationships/hyperlink" Target="https://www.aliexpress.us/item/3256811756668201.html" TargetMode="External"/><Relationship Id="rId402" Type="http://schemas.openxmlformats.org/officeDocument/2006/relationships/hyperlink" Target="https://www.aliexpress.us/item/3256812236497063.html" TargetMode="External"/><Relationship Id="rId403" Type="http://schemas.openxmlformats.org/officeDocument/2006/relationships/hyperlink" Target="https://www.aliexpress.us/item/3256806156728203.html" TargetMode="External"/><Relationship Id="rId404" Type="http://schemas.openxmlformats.org/officeDocument/2006/relationships/hyperlink" Target="https://www.aliexpress.us/item/3256807306522031.html" TargetMode="External"/><Relationship Id="rId405" Type="http://schemas.openxmlformats.org/officeDocument/2006/relationships/hyperlink" Target="https://www.aliexpress.us/item/3256812691776515.html" TargetMode="External"/><Relationship Id="rId406" Type="http://schemas.openxmlformats.org/officeDocument/2006/relationships/hyperlink" Target="https://www.aliexpress.us/item/3256812758705689.html" TargetMode="External"/><Relationship Id="rId407" Type="http://schemas.openxmlformats.org/officeDocument/2006/relationships/hyperlink" Target="https://www.aliexpress.us/item/3256812407992894.html" TargetMode="External"/><Relationship Id="rId408" Type="http://schemas.openxmlformats.org/officeDocument/2006/relationships/hyperlink" Target="https://www.aliexpress.us/item/3256809074643219.html" TargetMode="External"/><Relationship Id="rId409" Type="http://schemas.openxmlformats.org/officeDocument/2006/relationships/hyperlink" Target="https://www.aliexpress.us/item/3256812123318164.html" TargetMode="External"/><Relationship Id="rId410" Type="http://schemas.openxmlformats.org/officeDocument/2006/relationships/hyperlink" Target="https://www.aliexpress.us/item/3256812629082595.html" TargetMode="External"/><Relationship Id="rId411" Type="http://schemas.openxmlformats.org/officeDocument/2006/relationships/hyperlink" Target="https://www.aliexpress.us/item/3256812268413756.html" TargetMode="External"/><Relationship Id="rId412" Type="http://schemas.openxmlformats.org/officeDocument/2006/relationships/hyperlink" Target="https://www.aliexpress.us/item/3256805874192768.html" TargetMode="External"/><Relationship Id="rId413" Type="http://schemas.openxmlformats.org/officeDocument/2006/relationships/hyperlink" Target="https://www.aliexpress.us/item/3256812746522986.html" TargetMode="External"/><Relationship Id="rId414" Type="http://schemas.openxmlformats.org/officeDocument/2006/relationships/hyperlink" Target="https://www.aliexpress.us/item/3256812182920405.html" TargetMode="External"/><Relationship Id="rId415" Type="http://schemas.openxmlformats.org/officeDocument/2006/relationships/hyperlink" Target="https://www.aliexpress.us/item/3256812678343678.html" TargetMode="External"/><Relationship Id="rId416" Type="http://schemas.openxmlformats.org/officeDocument/2006/relationships/hyperlink" Target="https://www.aliexpress.us/item/3256812894578138.html" TargetMode="External"/><Relationship Id="rId417" Type="http://schemas.openxmlformats.org/officeDocument/2006/relationships/hyperlink" Target="https://www.aliexpress.us/item/3256805735464954.html" TargetMode="External"/><Relationship Id="rId418" Type="http://schemas.openxmlformats.org/officeDocument/2006/relationships/hyperlink" Target="https://www.aliexpress.us/item/3256807713308222.html" TargetMode="External"/><Relationship Id="rId419" Type="http://schemas.openxmlformats.org/officeDocument/2006/relationships/hyperlink" Target="https://www.aliexpress.us/item/3256808004535207.html" TargetMode="External"/><Relationship Id="rId420" Type="http://schemas.openxmlformats.org/officeDocument/2006/relationships/hyperlink" Target="https://www.aliexpress.us/item/3256811758882818.html" TargetMode="External"/><Relationship Id="rId421" Type="http://schemas.openxmlformats.org/officeDocument/2006/relationships/hyperlink" Target="https://www.aliexpress.us/item/3256812866337260.html" TargetMode="External"/><Relationship Id="rId422" Type="http://schemas.openxmlformats.org/officeDocument/2006/relationships/hyperlink" Target="https://www.aliexpress.us/item/3256807195813330.html" TargetMode="External"/><Relationship Id="rId423" Type="http://schemas.openxmlformats.org/officeDocument/2006/relationships/hyperlink" Target="https://www.aliexpress.us/item/3256806805958577.html" TargetMode="External"/><Relationship Id="rId424" Type="http://schemas.openxmlformats.org/officeDocument/2006/relationships/hyperlink" Target="https://www.aliexpress.us/item/3256805005601939.html" TargetMode="External"/><Relationship Id="rId425" Type="http://schemas.openxmlformats.org/officeDocument/2006/relationships/hyperlink" Target="https://www.aliexpress.us/item/3256807259802156.html" TargetMode="External"/><Relationship Id="rId426" Type="http://schemas.openxmlformats.org/officeDocument/2006/relationships/hyperlink" Target="https://www.aliexpress.us/item/3256811920896852.html" TargetMode="External"/><Relationship Id="rId427" Type="http://schemas.openxmlformats.org/officeDocument/2006/relationships/hyperlink" Target="https://www.aliexpress.us/item/3256808639022471.html" TargetMode="External"/><Relationship Id="rId428" Type="http://schemas.openxmlformats.org/officeDocument/2006/relationships/hyperlink" Target="https://www.aliexpress.us/item/3256808570265016.html" TargetMode="External"/><Relationship Id="rId429" Type="http://schemas.openxmlformats.org/officeDocument/2006/relationships/hyperlink" Target="https://www.aliexpress.us/item/3256804790913873.html" TargetMode="External"/><Relationship Id="rId430" Type="http://schemas.openxmlformats.org/officeDocument/2006/relationships/hyperlink" Target="https://www.aliexpress.us/item/3256811997026972.html" TargetMode="External"/><Relationship Id="rId431" Type="http://schemas.openxmlformats.org/officeDocument/2006/relationships/hyperlink" Target="https://www.aliexpress.us/item/3256805874259396.html" TargetMode="External"/><Relationship Id="rId432" Type="http://schemas.openxmlformats.org/officeDocument/2006/relationships/hyperlink" Target="https://www.aliexpress.us/item/3256809579903029.html" TargetMode="External"/><Relationship Id="rId433" Type="http://schemas.openxmlformats.org/officeDocument/2006/relationships/hyperlink" Target="https://www.aliexpress.us/item/3256808663430353.html" TargetMode="External"/><Relationship Id="rId434" Type="http://schemas.openxmlformats.org/officeDocument/2006/relationships/hyperlink" Target="https://www.aliexpress.us/item/3256809633589418.html" TargetMode="External"/><Relationship Id="rId435" Type="http://schemas.openxmlformats.org/officeDocument/2006/relationships/hyperlink" Target="https://www.aliexpress.us/item/3256805313933311.html" TargetMode="External"/><Relationship Id="rId436" Type="http://schemas.openxmlformats.org/officeDocument/2006/relationships/hyperlink" Target="https://www.aliexpress.us/item/3256812218681444.html" TargetMode="External"/><Relationship Id="rId437" Type="http://schemas.openxmlformats.org/officeDocument/2006/relationships/hyperlink" Target="https://www.aliexpress.us/item/3256812214712936.html" TargetMode="External"/><Relationship Id="rId438" Type="http://schemas.openxmlformats.org/officeDocument/2006/relationships/hyperlink" Target="https://www.aliexpress.us/item/3256811939477494.html" TargetMode="External"/><Relationship Id="rId439" Type="http://schemas.openxmlformats.org/officeDocument/2006/relationships/hyperlink" Target="https://www.aliexpress.us/item/3256812547179180.html" TargetMode="External"/><Relationship Id="rId440" Type="http://schemas.openxmlformats.org/officeDocument/2006/relationships/hyperlink" Target="https://www.aliexpress.us/item/3256811525947598.html" TargetMode="External"/><Relationship Id="rId441" Type="http://schemas.openxmlformats.org/officeDocument/2006/relationships/hyperlink" Target="https://www.aliexpress.us/item/3256811777274194.html" TargetMode="External"/><Relationship Id="rId442" Type="http://schemas.openxmlformats.org/officeDocument/2006/relationships/hyperlink" Target="https://www.aliexpress.us/item/3256807935041042.html" TargetMode="External"/><Relationship Id="rId443" Type="http://schemas.openxmlformats.org/officeDocument/2006/relationships/hyperlink" Target="https://www.aliexpress.us/item/3256812799171463.html" TargetMode="External"/><Relationship Id="rId444" Type="http://schemas.openxmlformats.org/officeDocument/2006/relationships/hyperlink" Target="https://www.aliexpress.us/item/3256808606137019.html" TargetMode="External"/><Relationship Id="rId445" Type="http://schemas.openxmlformats.org/officeDocument/2006/relationships/hyperlink" Target="https://www.aliexpress.us/item/3256808283902589.html" TargetMode="External"/><Relationship Id="rId446" Type="http://schemas.openxmlformats.org/officeDocument/2006/relationships/hyperlink" Target="https://www.aliexpress.us/item/3256807529883028.html" TargetMode="External"/><Relationship Id="rId447" Type="http://schemas.openxmlformats.org/officeDocument/2006/relationships/hyperlink" Target="https://www.aliexpress.us/item/3256807155806683.html" TargetMode="External"/><Relationship Id="rId448" Type="http://schemas.openxmlformats.org/officeDocument/2006/relationships/hyperlink" Target="https://www.aliexpress.us/item/3256810129375419.html" TargetMode="External"/><Relationship Id="rId449" Type="http://schemas.openxmlformats.org/officeDocument/2006/relationships/hyperlink" Target="https://www.aliexpress.us/item/3256810521794294.html" TargetMode="External"/><Relationship Id="rId450" Type="http://schemas.openxmlformats.org/officeDocument/2006/relationships/hyperlink" Target="https://www.aliexpress.us/item/3256812141894497.html" TargetMode="External"/><Relationship Id="rId451" Type="http://schemas.openxmlformats.org/officeDocument/2006/relationships/hyperlink" Target="https://www.aliexpress.us/item/3256806122266253.html" TargetMode="External"/><Relationship Id="rId452" Type="http://schemas.openxmlformats.org/officeDocument/2006/relationships/hyperlink" Target="https://www.aliexpress.us/item/3256805874119230.html" TargetMode="External"/><Relationship Id="rId453" Type="http://schemas.openxmlformats.org/officeDocument/2006/relationships/hyperlink" Target="https://www.aliexpress.us/item/3256809687760340.html" TargetMode="External"/><Relationship Id="rId454" Type="http://schemas.openxmlformats.org/officeDocument/2006/relationships/hyperlink" Target="https://www.aliexpress.us/item/3256809814992044.html" TargetMode="External"/><Relationship Id="rId455" Type="http://schemas.openxmlformats.org/officeDocument/2006/relationships/hyperlink" Target="https://www.aliexpress.us/item/3256812266532332.html" TargetMode="External"/><Relationship Id="rId456" Type="http://schemas.openxmlformats.org/officeDocument/2006/relationships/hyperlink" Target="https://www.aliexpress.us/item/2255801093110071.html" TargetMode="External"/><Relationship Id="rId457" Type="http://schemas.openxmlformats.org/officeDocument/2006/relationships/hyperlink" Target="https://www.aliexpress.us/item/3256809809754363.html" TargetMode="External"/><Relationship Id="rId458" Type="http://schemas.openxmlformats.org/officeDocument/2006/relationships/hyperlink" Target="https://www.aliexpress.us/item/3256808406864342.html" TargetMode="External"/><Relationship Id="rId459" Type="http://schemas.openxmlformats.org/officeDocument/2006/relationships/hyperlink" Target="https://www.aliexpress.us/item/3256808446948662.html" TargetMode="External"/><Relationship Id="rId460" Type="http://schemas.openxmlformats.org/officeDocument/2006/relationships/hyperlink" Target="https://www.aliexpress.us/item/3256811712803929.html" TargetMode="External"/><Relationship Id="rId461" Type="http://schemas.openxmlformats.org/officeDocument/2006/relationships/hyperlink" Target="https://www.aliexpress.us/item/3256808543734155.html" TargetMode="External"/><Relationship Id="rId462" Type="http://schemas.openxmlformats.org/officeDocument/2006/relationships/hyperlink" Target="https://www.aliexpress.us/item/3256806470266760.html" TargetMode="External"/><Relationship Id="rId463" Type="http://schemas.openxmlformats.org/officeDocument/2006/relationships/hyperlink" Target="https://www.aliexpress.us/item/3256809935878210.html" TargetMode="External"/><Relationship Id="rId464" Type="http://schemas.openxmlformats.org/officeDocument/2006/relationships/hyperlink" Target="https://www.aliexpress.us/item/3256808620272928.html" TargetMode="External"/><Relationship Id="rId465" Type="http://schemas.openxmlformats.org/officeDocument/2006/relationships/hyperlink" Target="https://www.aliexpress.us/item/3256807572001672.html" TargetMode="External"/><Relationship Id="rId466" Type="http://schemas.openxmlformats.org/officeDocument/2006/relationships/hyperlink" Target="https://www.aliexpress.us/item/3256810322484171.html" TargetMode="External"/><Relationship Id="rId467" Type="http://schemas.openxmlformats.org/officeDocument/2006/relationships/hyperlink" Target="https://www.aliexpress.us/item/3256811847813970.html" TargetMode="External"/><Relationship Id="rId468" Type="http://schemas.openxmlformats.org/officeDocument/2006/relationships/hyperlink" Target="https://www.aliexpress.us/item/3256808317062316.html" TargetMode="External"/><Relationship Id="rId469" Type="http://schemas.openxmlformats.org/officeDocument/2006/relationships/hyperlink" Target="https://www.aliexpress.us/item/3256808639154740.html" TargetMode="External"/><Relationship Id="rId470" Type="http://schemas.openxmlformats.org/officeDocument/2006/relationships/hyperlink" Target="https://www.aliexpress.us/item/3256805874262375.html" TargetMode="External"/><Relationship Id="rId471" Type="http://schemas.openxmlformats.org/officeDocument/2006/relationships/hyperlink" Target="https://www.aliexpress.us/item/3256812587423489.html" TargetMode="External"/><Relationship Id="rId472" Type="http://schemas.openxmlformats.org/officeDocument/2006/relationships/hyperlink" Target="https://www.aliexpress.us/item/3256810286392094.html" TargetMode="External"/><Relationship Id="rId473" Type="http://schemas.openxmlformats.org/officeDocument/2006/relationships/hyperlink" Target="https://www.aliexpress.us/item/3256812754900173.html" TargetMode="External"/><Relationship Id="rId474" Type="http://schemas.openxmlformats.org/officeDocument/2006/relationships/hyperlink" Target="https://www.aliexpress.us/item/3256807057917442.html" TargetMode="External"/><Relationship Id="rId475" Type="http://schemas.openxmlformats.org/officeDocument/2006/relationships/hyperlink" Target="https://www.aliexpress.us/item/3256805890850654.html" TargetMode="External"/><Relationship Id="rId476" Type="http://schemas.openxmlformats.org/officeDocument/2006/relationships/hyperlink" Target="https://www.aliexpress.us/item/3256809624850428.html" TargetMode="External"/><Relationship Id="rId477" Type="http://schemas.openxmlformats.org/officeDocument/2006/relationships/hyperlink" Target="https://www.aliexpress.us/item/3256806156748070.html" TargetMode="External"/><Relationship Id="rId478" Type="http://schemas.openxmlformats.org/officeDocument/2006/relationships/hyperlink" Target="https://www.aliexpress.us/item/3256812743980684.html" TargetMode="External"/><Relationship Id="rId479" Type="http://schemas.openxmlformats.org/officeDocument/2006/relationships/hyperlink" Target="https://www.aliexpress.us/item/3256812613479930.html" TargetMode="External"/><Relationship Id="rId480" Type="http://schemas.openxmlformats.org/officeDocument/2006/relationships/hyperlink" Target="https://www.aliexpress.us/item/3256805836981802.html" TargetMode="External"/><Relationship Id="rId481" Type="http://schemas.openxmlformats.org/officeDocument/2006/relationships/hyperlink" Target="https://www.aliexpress.us/item/3256812634206686.html" TargetMode="External"/><Relationship Id="rId482" Type="http://schemas.openxmlformats.org/officeDocument/2006/relationships/hyperlink" Target="https://www.aliexpress.us/item/3256811404157983.html" TargetMode="External"/><Relationship Id="rId483" Type="http://schemas.openxmlformats.org/officeDocument/2006/relationships/hyperlink" Target="https://www.aliexpress.us/item/3256812864433488.html" TargetMode="External"/><Relationship Id="rId484" Type="http://schemas.openxmlformats.org/officeDocument/2006/relationships/hyperlink" Target="https://www.aliexpress.us/item/3256812735923484.html" TargetMode="External"/><Relationship Id="rId485" Type="http://schemas.openxmlformats.org/officeDocument/2006/relationships/hyperlink" Target="https://www.aliexpress.us/item/3256810225332254.html" TargetMode="External"/><Relationship Id="rId486" Type="http://schemas.openxmlformats.org/officeDocument/2006/relationships/hyperlink" Target="https://www.aliexpress.us/item/3256805906135627.html" TargetMode="External"/><Relationship Id="rId487" Type="http://schemas.openxmlformats.org/officeDocument/2006/relationships/hyperlink" Target="https://www.aliexpress.us/item/3256808134734048.html" TargetMode="External"/><Relationship Id="rId488" Type="http://schemas.openxmlformats.org/officeDocument/2006/relationships/hyperlink" Target="https://www.aliexpress.us/item/3256812816329280.html" TargetMode="External"/><Relationship Id="rId489" Type="http://schemas.openxmlformats.org/officeDocument/2006/relationships/hyperlink" Target="https://www.aliexpress.us/item/3256808864309276.html" TargetMode="External"/><Relationship Id="rId490" Type="http://schemas.openxmlformats.org/officeDocument/2006/relationships/hyperlink" Target="https://www.aliexpress.us/item/3256811719379211.html" TargetMode="External"/><Relationship Id="rId491" Type="http://schemas.openxmlformats.org/officeDocument/2006/relationships/hyperlink" Target="https://www.aliexpress.us/item/3256812748009562.html" TargetMode="External"/><Relationship Id="rId492" Type="http://schemas.openxmlformats.org/officeDocument/2006/relationships/hyperlink" Target="https://www.aliexpress.us/item/3256807195674078.html" TargetMode="External"/><Relationship Id="rId493" Type="http://schemas.openxmlformats.org/officeDocument/2006/relationships/hyperlink" Target="https://www.aliexpress.us/item/3256808663220950.html" TargetMode="External"/><Relationship Id="rId494" Type="http://schemas.openxmlformats.org/officeDocument/2006/relationships/hyperlink" Target="https://www.aliexpress.us/item/3256806805834930.html" TargetMode="External"/><Relationship Id="rId495" Type="http://schemas.openxmlformats.org/officeDocument/2006/relationships/hyperlink" Target="https://www.aliexpress.us/item/3256805313905471.html" TargetMode="External"/><Relationship Id="rId496" Type="http://schemas.openxmlformats.org/officeDocument/2006/relationships/hyperlink" Target="https://www.aliexpress.us/item/3256807503653363.html" TargetMode="External"/><Relationship Id="rId497" Type="http://schemas.openxmlformats.org/officeDocument/2006/relationships/hyperlink" Target="https://www.aliexpress.us/item/3256807798000201.html" TargetMode="External"/><Relationship Id="rId498" Type="http://schemas.openxmlformats.org/officeDocument/2006/relationships/hyperlink" Target="https://www.aliexpress.us/item/3256807304832451.html" TargetMode="External"/><Relationship Id="rId499" Type="http://schemas.openxmlformats.org/officeDocument/2006/relationships/hyperlink" Target="https://www.aliexpress.us/item/3256812779124823.html" TargetMode="External"/><Relationship Id="rId500" Type="http://schemas.openxmlformats.org/officeDocument/2006/relationships/hyperlink" Target="https://www.aliexpress.us/item/3256812264528732.html" TargetMode="External"/><Relationship Id="rId501" Type="http://schemas.openxmlformats.org/officeDocument/2006/relationships/hyperlink" Target="https://www.aliexpress.us/item/3256812386396165.html" TargetMode="External"/><Relationship Id="rId502" Type="http://schemas.openxmlformats.org/officeDocument/2006/relationships/hyperlink" Target="https://www.aliexpress.us/item/3256811542981959.html" TargetMode="External"/><Relationship Id="rId503" Type="http://schemas.openxmlformats.org/officeDocument/2006/relationships/hyperlink" Target="https://www.aliexpress.us/item/3256806120016809.html" TargetMode="External"/><Relationship Id="rId504" Type="http://schemas.openxmlformats.org/officeDocument/2006/relationships/hyperlink" Target="https://www.aliexpress.us/item/3256811542113812.html" TargetMode="External"/><Relationship Id="rId505" Type="http://schemas.openxmlformats.org/officeDocument/2006/relationships/hyperlink" Target="https://www.aliexpress.us/item/3256811925790996.html" TargetMode="External"/><Relationship Id="rId506" Type="http://schemas.openxmlformats.org/officeDocument/2006/relationships/hyperlink" Target="https://www.aliexpress.us/item/3256812358921618.html" TargetMode="External"/><Relationship Id="rId507" Type="http://schemas.openxmlformats.org/officeDocument/2006/relationships/hyperlink" Target="https://www.aliexpress.us/item/3256812651957011.html" TargetMode="External"/><Relationship Id="rId508" Type="http://schemas.openxmlformats.org/officeDocument/2006/relationships/hyperlink" Target="https://www.aliexpress.us/item/3256812764569454.html" TargetMode="External"/><Relationship Id="rId509" Type="http://schemas.openxmlformats.org/officeDocument/2006/relationships/hyperlink" Target="https://www.aliexpress.us/item/3256812711049745.html" TargetMode="External"/><Relationship Id="rId510" Type="http://schemas.openxmlformats.org/officeDocument/2006/relationships/hyperlink" Target="https://www.aliexpress.us/item/3256804790756238.html" TargetMode="External"/><Relationship Id="rId511" Type="http://schemas.openxmlformats.org/officeDocument/2006/relationships/hyperlink" Target="https://www.aliexpress.us/item/3256809640737875.html" TargetMode="External"/><Relationship Id="rId512" Type="http://schemas.openxmlformats.org/officeDocument/2006/relationships/hyperlink" Target="https://www.aliexpress.us/item/3256807150156540.html" TargetMode="External"/><Relationship Id="rId513" Type="http://schemas.openxmlformats.org/officeDocument/2006/relationships/hyperlink" Target="https://www.aliexpress.us/item/3256807550698304.html" TargetMode="External"/><Relationship Id="rId514" Type="http://schemas.openxmlformats.org/officeDocument/2006/relationships/hyperlink" Target="https://www.aliexpress.us/item/3256813029272011.html" TargetMode="External"/><Relationship Id="rId515" Type="http://schemas.openxmlformats.org/officeDocument/2006/relationships/hyperlink" Target="https://www.aliexpress.us/item/3256813018850859.html" TargetMode="External"/><Relationship Id="rId516" Type="http://schemas.openxmlformats.org/officeDocument/2006/relationships/hyperlink" Target="https://www.aliexpress.us/item/3256812413331702.html" TargetMode="External"/><Relationship Id="rId517" Type="http://schemas.openxmlformats.org/officeDocument/2006/relationships/hyperlink" Target="https://www.aliexpress.us/item/3256809535622172.html" TargetMode="External"/><Relationship Id="rId518" Type="http://schemas.openxmlformats.org/officeDocument/2006/relationships/hyperlink" Target="https://www.aliexpress.us/item/3256806805879729.html" TargetMode="External"/><Relationship Id="rId519" Type="http://schemas.openxmlformats.org/officeDocument/2006/relationships/hyperlink" Target="https://www.aliexpress.us/item/3256811720944683.html" TargetMode="External"/><Relationship Id="rId520" Type="http://schemas.openxmlformats.org/officeDocument/2006/relationships/hyperlink" Target="https://www.aliexpress.us/item/3256811828540360.html" TargetMode="External"/><Relationship Id="rId521" Type="http://schemas.openxmlformats.org/officeDocument/2006/relationships/hyperlink" Target="https://www.aliexpress.us/item/3256807196263571.html" TargetMode="External"/><Relationship Id="rId522" Type="http://schemas.openxmlformats.org/officeDocument/2006/relationships/hyperlink" Target="https://www.aliexpress.us/item/3256811636443205.html" TargetMode="External"/><Relationship Id="rId523" Type="http://schemas.openxmlformats.org/officeDocument/2006/relationships/hyperlink" Target="https://www.aliexpress.us/item/3256812747203423.html" TargetMode="External"/><Relationship Id="rId524" Type="http://schemas.openxmlformats.org/officeDocument/2006/relationships/hyperlink" Target="https://www.aliexpress.us/item/3256807057639907.html" TargetMode="External"/><Relationship Id="rId525" Type="http://schemas.openxmlformats.org/officeDocument/2006/relationships/hyperlink" Target="https://www.aliexpress.us/item/3256805972580725.html" TargetMode="External"/><Relationship Id="rId526" Type="http://schemas.openxmlformats.org/officeDocument/2006/relationships/hyperlink" Target="https://www.aliexpress.us/item/3256812602165165.html" TargetMode="External"/><Relationship Id="rId527" Type="http://schemas.openxmlformats.org/officeDocument/2006/relationships/hyperlink" Target="https://www.aliexpress.us/item/3256805734975210.html" TargetMode="External"/><Relationship Id="rId528" Type="http://schemas.openxmlformats.org/officeDocument/2006/relationships/hyperlink" Target="https://www.aliexpress.us/item/3256804802302641.html" TargetMode="External"/><Relationship Id="rId529" Type="http://schemas.openxmlformats.org/officeDocument/2006/relationships/hyperlink" Target="https://www.aliexpress.us/item/3256812477780655.html" TargetMode="External"/><Relationship Id="rId530" Type="http://schemas.openxmlformats.org/officeDocument/2006/relationships/hyperlink" Target="https://www.aliexpress.us/item/3256808211750114.html" TargetMode="External"/><Relationship Id="rId531" Type="http://schemas.openxmlformats.org/officeDocument/2006/relationships/hyperlink" Target="https://www.aliexpress.us/item/3256807851653830.html" TargetMode="External"/><Relationship Id="rId532" Type="http://schemas.openxmlformats.org/officeDocument/2006/relationships/hyperlink" Target="https://www.aliexpress.us/item/3256808212181679.html" TargetMode="External"/><Relationship Id="rId533" Type="http://schemas.openxmlformats.org/officeDocument/2006/relationships/hyperlink" Target="https://www.aliexpress.us/item/3256806710059710.html" TargetMode="External"/><Relationship Id="rId534" Type="http://schemas.openxmlformats.org/officeDocument/2006/relationships/hyperlink" Target="https://www.aliexpress.us/item/3256812750132972.html" TargetMode="External"/><Relationship Id="rId535" Type="http://schemas.openxmlformats.org/officeDocument/2006/relationships/hyperlink" Target="https://www.aliexpress.us/item/3256807654769404.html" TargetMode="External"/><Relationship Id="rId536" Type="http://schemas.openxmlformats.org/officeDocument/2006/relationships/hyperlink" Target="https://www.aliexpress.us/item/3256812671453193.html" TargetMode="External"/><Relationship Id="rId537" Type="http://schemas.openxmlformats.org/officeDocument/2006/relationships/hyperlink" Target="https://www.aliexpress.us/item/3256812454821521.html" TargetMode="External"/><Relationship Id="rId538" Type="http://schemas.openxmlformats.org/officeDocument/2006/relationships/hyperlink" Target="https://www.aliexpress.us/item/3256812627473839.html" TargetMode="External"/><Relationship Id="rId539" Type="http://schemas.openxmlformats.org/officeDocument/2006/relationships/hyperlink" Target="https://www.aliexpress.us/item/3256812460849193.html" TargetMode="External"/><Relationship Id="rId540" Type="http://schemas.openxmlformats.org/officeDocument/2006/relationships/hyperlink" Target="https://www.aliexpress.us/item/3256812943974595.html" TargetMode="External"/><Relationship Id="rId541" Type="http://schemas.openxmlformats.org/officeDocument/2006/relationships/hyperlink" Target="https://www.aliexpress.us/item/3256812910221405.html" TargetMode="External"/><Relationship Id="rId542" Type="http://schemas.openxmlformats.org/officeDocument/2006/relationships/hyperlink" Target="https://www.aliexpress.us/item/3256812486926300.html" TargetMode="External"/><Relationship Id="rId543" Type="http://schemas.openxmlformats.org/officeDocument/2006/relationships/hyperlink" Target="https://www.aliexpress.us/item/3256812701003368.html" TargetMode="External"/><Relationship Id="rId544" Type="http://schemas.openxmlformats.org/officeDocument/2006/relationships/hyperlink" Target="https://www.aliexpress.us/item/3256804429869961.html" TargetMode="External"/><Relationship Id="rId545" Type="http://schemas.openxmlformats.org/officeDocument/2006/relationships/hyperlink" Target="https://www.aliexpress.us/item/3256808544137449.html" TargetMode="External"/><Relationship Id="rId546" Type="http://schemas.openxmlformats.org/officeDocument/2006/relationships/hyperlink" Target="https://www.aliexpress.us/item/3256812844641107.html" TargetMode="External"/><Relationship Id="rId547" Type="http://schemas.openxmlformats.org/officeDocument/2006/relationships/hyperlink" Target="https://www.aliexpress.us/item/3256812032266140.html" TargetMode="External"/><Relationship Id="rId548" Type="http://schemas.openxmlformats.org/officeDocument/2006/relationships/hyperlink" Target="https://www.aliexpress.us/item/3256809451331645.html" TargetMode="External"/><Relationship Id="rId549" Type="http://schemas.openxmlformats.org/officeDocument/2006/relationships/hyperlink" Target="https://www.aliexpress.us/item/3256812192052949.html" TargetMode="External"/><Relationship Id="rId550" Type="http://schemas.openxmlformats.org/officeDocument/2006/relationships/hyperlink" Target="https://www.aliexpress.us/item/3256811719460508.html" TargetMode="External"/><Relationship Id="rId551" Type="http://schemas.openxmlformats.org/officeDocument/2006/relationships/hyperlink" Target="https://www.aliexpress.us/item/3256811726546719.html" TargetMode="External"/><Relationship Id="rId552" Type="http://schemas.openxmlformats.org/officeDocument/2006/relationships/hyperlink" Target="https://www.aliexpress.us/item/3256812677023081.html" TargetMode="External"/><Relationship Id="rId553" Type="http://schemas.openxmlformats.org/officeDocument/2006/relationships/hyperlink" Target="https://www.aliexpress.us/item/3256812278068987.html" TargetMode="External"/><Relationship Id="rId554" Type="http://schemas.openxmlformats.org/officeDocument/2006/relationships/hyperlink" Target="https://www.aliexpress.us/item/3256807665311907.html" TargetMode="External"/><Relationship Id="rId555" Type="http://schemas.openxmlformats.org/officeDocument/2006/relationships/hyperlink" Target="https://www.aliexpress.us/item/3256805393882028.html" TargetMode="External"/><Relationship Id="rId556" Type="http://schemas.openxmlformats.org/officeDocument/2006/relationships/hyperlink" Target="https://www.aliexpress.us/item/3256812151668243.html" TargetMode="External"/><Relationship Id="rId557" Type="http://schemas.openxmlformats.org/officeDocument/2006/relationships/hyperlink" Target="https://www.aliexpress.us/item/3256812861399829.html" TargetMode="External"/><Relationship Id="rId558" Type="http://schemas.openxmlformats.org/officeDocument/2006/relationships/hyperlink" Target="https://www.aliexpress.us/item/3256804701186774.html" TargetMode="External"/><Relationship Id="rId559" Type="http://schemas.openxmlformats.org/officeDocument/2006/relationships/hyperlink" Target="https://www.aliexpress.us/item/3256810373962561.html" TargetMode="External"/><Relationship Id="rId560" Type="http://schemas.openxmlformats.org/officeDocument/2006/relationships/hyperlink" Target="https://www.aliexpress.us/item/3256809529387166.html" TargetMode="External"/><Relationship Id="rId561" Type="http://schemas.openxmlformats.org/officeDocument/2006/relationships/hyperlink" Target="https://www.aliexpress.us/item/3256806805760094.html" TargetMode="External"/><Relationship Id="rId562" Type="http://schemas.openxmlformats.org/officeDocument/2006/relationships/hyperlink" Target="https://www.aliexpress.us/item/3256808638881201.html" TargetMode="External"/><Relationship Id="rId563" Type="http://schemas.openxmlformats.org/officeDocument/2006/relationships/hyperlink" Target="https://www.aliexpress.us/item/3256812944780368.html" TargetMode="External"/><Relationship Id="rId564" Type="http://schemas.openxmlformats.org/officeDocument/2006/relationships/hyperlink" Target="https://www.aliexpress.us/item/3256809849671621.html" TargetMode="External"/><Relationship Id="rId565" Type="http://schemas.openxmlformats.org/officeDocument/2006/relationships/hyperlink" Target="https://www.aliexpress.us/item/3256808640925656.html" TargetMode="External"/><Relationship Id="rId566" Type="http://schemas.openxmlformats.org/officeDocument/2006/relationships/hyperlink" Target="https://www.aliexpress.us/item/3256812546653845.html" TargetMode="External"/><Relationship Id="rId567" Type="http://schemas.openxmlformats.org/officeDocument/2006/relationships/hyperlink" Target="https://www.aliexpress.us/item/3256809346846918.html" TargetMode="External"/><Relationship Id="rId568" Type="http://schemas.openxmlformats.org/officeDocument/2006/relationships/hyperlink" Target="https://www.aliexpress.us/item/3256812300923104.html" TargetMode="External"/><Relationship Id="rId569" Type="http://schemas.openxmlformats.org/officeDocument/2006/relationships/hyperlink" Target="https://www.aliexpress.us/item/3256812539556956.html" TargetMode="External"/><Relationship Id="rId570" Type="http://schemas.openxmlformats.org/officeDocument/2006/relationships/hyperlink" Target="https://www.aliexpress.us/item/3256812471547427.html" TargetMode="External"/><Relationship Id="rId571" Type="http://schemas.openxmlformats.org/officeDocument/2006/relationships/hyperlink" Target="https://www.aliexpress.us/item/3256807654595980.html" TargetMode="External"/><Relationship Id="rId572" Type="http://schemas.openxmlformats.org/officeDocument/2006/relationships/hyperlink" Target="https://www.aliexpress.us/item/3256807218917121.html" TargetMode="External"/><Relationship Id="rId573" Type="http://schemas.openxmlformats.org/officeDocument/2006/relationships/hyperlink" Target="https://www.aliexpress.us/item/3256807057726697.html" TargetMode="External"/><Relationship Id="rId574" Type="http://schemas.openxmlformats.org/officeDocument/2006/relationships/hyperlink" Target="https://www.aliexpress.us/item/3256809882446238.html" TargetMode="External"/><Relationship Id="rId575" Type="http://schemas.openxmlformats.org/officeDocument/2006/relationships/hyperlink" Target="https://www.aliexpress.us/item/3256807057946384.html" TargetMode="External"/><Relationship Id="rId576" Type="http://schemas.openxmlformats.org/officeDocument/2006/relationships/hyperlink" Target="https://www.aliexpress.us/item/3256809939030400.html" TargetMode="External"/><Relationship Id="rId577" Type="http://schemas.openxmlformats.org/officeDocument/2006/relationships/hyperlink" Target="https://www.aliexpress.us/item/3256808211919222.html" TargetMode="External"/><Relationship Id="rId578" Type="http://schemas.openxmlformats.org/officeDocument/2006/relationships/hyperlink" Target="https://www.aliexpress.us/item/3256808654825508.html" TargetMode="External"/><Relationship Id="rId579" Type="http://schemas.openxmlformats.org/officeDocument/2006/relationships/hyperlink" Target="https://www.aliexpress.us/item/3256809635016221.html" TargetMode="External"/><Relationship Id="rId580" Type="http://schemas.openxmlformats.org/officeDocument/2006/relationships/hyperlink" Target="https://www.aliexpress.us/item/3256812937150980.html" TargetMode="External"/><Relationship Id="rId581" Type="http://schemas.openxmlformats.org/officeDocument/2006/relationships/hyperlink" Target="https://www.aliexpress.us/item/3256806761451601.html" TargetMode="External"/><Relationship Id="rId582" Type="http://schemas.openxmlformats.org/officeDocument/2006/relationships/hyperlink" Target="https://www.aliexpress.us/item/3256812570395199.html" TargetMode="External"/><Relationship Id="rId583" Type="http://schemas.openxmlformats.org/officeDocument/2006/relationships/hyperlink" Target="https://www.aliexpress.us/item/3256811651017437.html" TargetMode="External"/><Relationship Id="rId584" Type="http://schemas.openxmlformats.org/officeDocument/2006/relationships/hyperlink" Target="https://www.aliexpress.us/item/3256812622168019.html" TargetMode="External"/><Relationship Id="rId585" Type="http://schemas.openxmlformats.org/officeDocument/2006/relationships/hyperlink" Target="https://www.aliexpress.us/item/3256812750290311.html" TargetMode="External"/><Relationship Id="rId586" Type="http://schemas.openxmlformats.org/officeDocument/2006/relationships/hyperlink" Target="https://www.aliexpress.us/item/3256812744038654.html" TargetMode="External"/><Relationship Id="rId587" Type="http://schemas.openxmlformats.org/officeDocument/2006/relationships/hyperlink" Target="https://www.aliexpress.us/item/3256813015467999.html" TargetMode="External"/><Relationship Id="rId588" Type="http://schemas.openxmlformats.org/officeDocument/2006/relationships/hyperlink" Target="https://www.aliexpress.us/item/3256812741505727.html" TargetMode="External"/><Relationship Id="rId589" Type="http://schemas.openxmlformats.org/officeDocument/2006/relationships/hyperlink" Target="https://www.aliexpress.us/item/3256812206856640.html" TargetMode="External"/><Relationship Id="rId590" Type="http://schemas.openxmlformats.org/officeDocument/2006/relationships/hyperlink" Target="https://www.aliexpress.us/item/3256812736226105.html" TargetMode="External"/><Relationship Id="rId591" Type="http://schemas.openxmlformats.org/officeDocument/2006/relationships/hyperlink" Target="https://www.aliexpress.us/item/3256812749824603.html" TargetMode="External"/><Relationship Id="rId592" Type="http://schemas.openxmlformats.org/officeDocument/2006/relationships/hyperlink" Target="https://www.aliexpress.us/item/3256812645062593.html" TargetMode="External"/><Relationship Id="rId593" Type="http://schemas.openxmlformats.org/officeDocument/2006/relationships/hyperlink" Target="https://www.aliexpress.us/item/3256812919433862.html" TargetMode="External"/><Relationship Id="rId594" Type="http://schemas.openxmlformats.org/officeDocument/2006/relationships/hyperlink" Target="https://www.aliexpress.us/item/3256812849320071.html" TargetMode="External"/><Relationship Id="rId595" Type="http://schemas.openxmlformats.org/officeDocument/2006/relationships/hyperlink" Target="https://www.aliexpress.us/item/3256812922035865.html" TargetMode="External"/><Relationship Id="rId596" Type="http://schemas.openxmlformats.org/officeDocument/2006/relationships/hyperlink" Target="https://www.aliexpress.us/item/3256812832826163.html" TargetMode="External"/><Relationship Id="rId597" Type="http://schemas.openxmlformats.org/officeDocument/2006/relationships/hyperlink" Target="https://www.aliexpress.us/item/3256812883541970.html" TargetMode="External"/><Relationship Id="rId598" Type="http://schemas.openxmlformats.org/officeDocument/2006/relationships/hyperlink" Target="https://www.aliexpress.us/item/3256812911780172.html" TargetMode="External"/><Relationship Id="rId599" Type="http://schemas.openxmlformats.org/officeDocument/2006/relationships/hyperlink" Target="https://www.aliexpress.us/item/3256812744903717.html" TargetMode="External"/><Relationship Id="rId600" Type="http://schemas.openxmlformats.org/officeDocument/2006/relationships/hyperlink" Target="https://www.aliexpress.us/item/3256812985900515.html" TargetMode="External"/><Relationship Id="rId601" Type="http://schemas.openxmlformats.org/officeDocument/2006/relationships/hyperlink" Target="https://www.aliexpress.us/item/3256813001223821.html" TargetMode="External"/><Relationship Id="rId602" Type="http://schemas.openxmlformats.org/officeDocument/2006/relationships/hyperlink" Target="https://www.aliexpress.us/item/2255800522868078.html" TargetMode="External"/><Relationship Id="rId603" Type="http://schemas.openxmlformats.org/officeDocument/2006/relationships/hyperlink" Target="https://www.aliexpress.us/item/3256808528256490.html" TargetMode="External"/><Relationship Id="rId604" Type="http://schemas.openxmlformats.org/officeDocument/2006/relationships/hyperlink" Target="https://www.aliexpress.us/item/3256812844603045.html" TargetMode="External"/><Relationship Id="rId605" Type="http://schemas.openxmlformats.org/officeDocument/2006/relationships/hyperlink" Target="https://www.aliexpress.us/item/3256807637556162.html" TargetMode="External"/><Relationship Id="rId606" Type="http://schemas.openxmlformats.org/officeDocument/2006/relationships/hyperlink" Target="https://www.aliexpress.us/item/3256803215729917.html" TargetMode="External"/><Relationship Id="rId607" Type="http://schemas.openxmlformats.org/officeDocument/2006/relationships/hyperlink" Target="https://www.aliexpress.us/item/3256812292051147.html" TargetMode="External"/><Relationship Id="rId608" Type="http://schemas.openxmlformats.org/officeDocument/2006/relationships/hyperlink" Target="https://www.aliexpress.us/item/3256812924317315.html" TargetMode="External"/><Relationship Id="rId609" Type="http://schemas.openxmlformats.org/officeDocument/2006/relationships/hyperlink" Target="https://www.aliexpress.us/item/3256812589990110.html" TargetMode="External"/><Relationship Id="rId610" Type="http://schemas.openxmlformats.org/officeDocument/2006/relationships/hyperlink" Target="https://www.aliexpress.us/item/3256812956253870.html" TargetMode="External"/><Relationship Id="rId611" Type="http://schemas.openxmlformats.org/officeDocument/2006/relationships/hyperlink" Target="https://www.aliexpress.us/item/3256812988996880.html" TargetMode="External"/><Relationship Id="rId612" Type="http://schemas.openxmlformats.org/officeDocument/2006/relationships/hyperlink" Target="https://www.aliexpress.us/item/3256809556668499.html" TargetMode="External"/><Relationship Id="rId613" Type="http://schemas.openxmlformats.org/officeDocument/2006/relationships/hyperlink" Target="https://www.aliexpress.us/item/3256812945937108.html" TargetMode="External"/><Relationship Id="rId614" Type="http://schemas.openxmlformats.org/officeDocument/2006/relationships/hyperlink" Target="https://www.aliexpress.us/item/3256812816883585.html" TargetMode="External"/><Relationship Id="rId615" Type="http://schemas.openxmlformats.org/officeDocument/2006/relationships/hyperlink" Target="https://www.aliexpress.us/item/3256812773103773.html" TargetMode="External"/><Relationship Id="rId616" Type="http://schemas.openxmlformats.org/officeDocument/2006/relationships/hyperlink" Target="https://www.aliexpress.us/item/3256808661530770.html" TargetMode="External"/><Relationship Id="rId617" Type="http://schemas.openxmlformats.org/officeDocument/2006/relationships/hyperlink" Target="https://www.aliexpress.us/item/3256812592601121.html" TargetMode="External"/><Relationship Id="rId618" Type="http://schemas.openxmlformats.org/officeDocument/2006/relationships/hyperlink" Target="https://www.aliexpress.us/item/3256811936182554.html" TargetMode="External"/><Relationship Id="rId619" Type="http://schemas.openxmlformats.org/officeDocument/2006/relationships/hyperlink" Target="https://www.aliexpress.us/item/3256812478545624.html" TargetMode="External"/><Relationship Id="rId620" Type="http://schemas.openxmlformats.org/officeDocument/2006/relationships/hyperlink" Target="https://www.aliexpress.us/item/3256812422202311.html" TargetMode="External"/><Relationship Id="rId621" Type="http://schemas.openxmlformats.org/officeDocument/2006/relationships/hyperlink" Target="https://www.aliexpress.us/item/3256812631943632.html" TargetMode="External"/><Relationship Id="rId622" Type="http://schemas.openxmlformats.org/officeDocument/2006/relationships/hyperlink" Target="https://www.aliexpress.us/item/3256812920980896.html" TargetMode="External"/><Relationship Id="rId623" Type="http://schemas.openxmlformats.org/officeDocument/2006/relationships/hyperlink" Target="https://www.aliexpress.us/item/3256812944585687.html" TargetMode="External"/><Relationship Id="rId624" Type="http://schemas.openxmlformats.org/officeDocument/2006/relationships/hyperlink" Target="https://www.aliexpress.us/item/3256809825802198.html" TargetMode="External"/><Relationship Id="rId625" Type="http://schemas.openxmlformats.org/officeDocument/2006/relationships/hyperlink" Target="https://www.aliexpress.us/item/3256812733409102.html" TargetMode="External"/><Relationship Id="rId626" Type="http://schemas.openxmlformats.org/officeDocument/2006/relationships/hyperlink" Target="https://www.aliexpress.us/item/3256812188339572.html" TargetMode="External"/><Relationship Id="rId627" Type="http://schemas.openxmlformats.org/officeDocument/2006/relationships/hyperlink" Target="https://www.aliexpress.us/item/3256811860851084.html" TargetMode="External"/><Relationship Id="rId628" Type="http://schemas.openxmlformats.org/officeDocument/2006/relationships/hyperlink" Target="https://www.aliexpress.us/item/3256812922917242.html" TargetMode="External"/><Relationship Id="rId629" Type="http://schemas.openxmlformats.org/officeDocument/2006/relationships/hyperlink" Target="https://www.aliexpress.us/item/3256812184442929.html" TargetMode="External"/><Relationship Id="rId630" Type="http://schemas.openxmlformats.org/officeDocument/2006/relationships/hyperlink" Target="https://www.aliexpress.us/item/3256812538352085.html" TargetMode="External"/><Relationship Id="rId631" Type="http://schemas.openxmlformats.org/officeDocument/2006/relationships/hyperlink" Target="https://www.aliexpress.us/item/3256813079826299.html" TargetMode="External"/><Relationship Id="rId632" Type="http://schemas.openxmlformats.org/officeDocument/2006/relationships/hyperlink" Target="https://www.aliexpress.us/item/3256813079374896.html" TargetMode="External"/><Relationship Id="rId633" Type="http://schemas.openxmlformats.org/officeDocument/2006/relationships/hyperlink" Target="https://www.aliexpress.us/item/3256813090277505.html" TargetMode="External"/><Relationship Id="rId634" Type="http://schemas.openxmlformats.org/officeDocument/2006/relationships/hyperlink" Target="https://www.aliexpress.us/item/3256809939130089.html" TargetMode="External"/><Relationship Id="rId635" Type="http://schemas.openxmlformats.org/officeDocument/2006/relationships/hyperlink" Target="https://www.aliexpress.us/item/3256811866705402.html" TargetMode="External"/><Relationship Id="rId636" Type="http://schemas.openxmlformats.org/officeDocument/2006/relationships/hyperlink" Target="https://www.aliexpress.us/item/3256812698159016.html" TargetMode="External"/><Relationship Id="rId637" Type="http://schemas.openxmlformats.org/officeDocument/2006/relationships/hyperlink" Target="https://www.aliexpress.us/item/3256812826454372.html" TargetMode="External"/><Relationship Id="rId638" Type="http://schemas.openxmlformats.org/officeDocument/2006/relationships/hyperlink" Target="https://www.aliexpress.us/item/3256812931143017.html" TargetMode="External"/><Relationship Id="rId639" Type="http://schemas.openxmlformats.org/officeDocument/2006/relationships/hyperlink" Target="https://www.aliexpress.us/item/3256813001288639.html" TargetMode="External"/><Relationship Id="rId640" Type="http://schemas.openxmlformats.org/officeDocument/2006/relationships/hyperlink" Target="https://www.aliexpress.us/item/3256812981004819.html" TargetMode="External"/><Relationship Id="rId641" Type="http://schemas.openxmlformats.org/officeDocument/2006/relationships/hyperlink" Target="https://www.aliexpress.us/item/3256812991239729.html" TargetMode="External"/><Relationship Id="rId642" Type="http://schemas.openxmlformats.org/officeDocument/2006/relationships/hyperlink" Target="https://www.aliexpress.us/item/3256812991190000.html" TargetMode="External"/><Relationship Id="rId643" Type="http://schemas.openxmlformats.org/officeDocument/2006/relationships/hyperlink" Target="https://www.aliexpress.us/item/3256811976691546.html" TargetMode="External"/><Relationship Id="rId644" Type="http://schemas.openxmlformats.org/officeDocument/2006/relationships/hyperlink" Target="https://www.aliexpress.us/item/3256812619124541.html" TargetMode="External"/><Relationship Id="rId645" Type="http://schemas.openxmlformats.org/officeDocument/2006/relationships/hyperlink" Target="https://www.aliexpress.us/item/3256812585639293.html" TargetMode="External"/><Relationship Id="rId646" Type="http://schemas.openxmlformats.org/officeDocument/2006/relationships/hyperlink" Target="https://www.aliexpress.us/item/3256810051827689.html" TargetMode="External"/><Relationship Id="rId647" Type="http://schemas.openxmlformats.org/officeDocument/2006/relationships/hyperlink" Target="https://www.aliexpress.us/item/3256810076505408.html" TargetMode="External"/><Relationship Id="rId648" Type="http://schemas.openxmlformats.org/officeDocument/2006/relationships/hyperlink" Target="https://www.aliexpress.us/item/3256812746636497.html" TargetMode="External"/><Relationship Id="rId649" Type="http://schemas.openxmlformats.org/officeDocument/2006/relationships/hyperlink" Target="https://www.aliexpress.us/item/3256812755115298.html" TargetMode="External"/><Relationship Id="rId650" Type="http://schemas.openxmlformats.org/officeDocument/2006/relationships/hyperlink" Target="https://www.aliexpress.us/item/3256812551627596.html" TargetMode="External"/><Relationship Id="rId651" Type="http://schemas.openxmlformats.org/officeDocument/2006/relationships/hyperlink" Target="https://www.aliexpress.us/item/3256811700719393.html" TargetMode="External"/><Relationship Id="rId652" Type="http://schemas.openxmlformats.org/officeDocument/2006/relationships/hyperlink" Target="https://www.aliexpress.us/item/3256805358921917.html" TargetMode="External"/><Relationship Id="rId653" Type="http://schemas.openxmlformats.org/officeDocument/2006/relationships/hyperlink" Target="https://www.aliexpress.us/item/3256812137718135.html" TargetMode="External"/><Relationship Id="rId654" Type="http://schemas.openxmlformats.org/officeDocument/2006/relationships/hyperlink" Target="https://www.aliexpress.us/item/3256811901468164.html" TargetMode="External"/><Relationship Id="rId655" Type="http://schemas.openxmlformats.org/officeDocument/2006/relationships/hyperlink" Target="https://www.aliexpress.us/item/3256805624940608.html" TargetMode="External"/><Relationship Id="rId656" Type="http://schemas.openxmlformats.org/officeDocument/2006/relationships/hyperlink" Target="https://www.aliexpress.us/item/3256811824172580.html" TargetMode="External"/><Relationship Id="rId657" Type="http://schemas.openxmlformats.org/officeDocument/2006/relationships/hyperlink" Target="https://www.aliexpress.us/item/3256812929439426.html" TargetMode="External"/><Relationship Id="rId658" Type="http://schemas.openxmlformats.org/officeDocument/2006/relationships/hyperlink" Target="https://www.aliexpress.us/item/3256812544989365.html" TargetMode="External"/><Relationship Id="rId659" Type="http://schemas.openxmlformats.org/officeDocument/2006/relationships/hyperlink" Target="https://www.aliexpress.us/item/3256812544727392.html" TargetMode="External"/><Relationship Id="rId660" Type="http://schemas.openxmlformats.org/officeDocument/2006/relationships/hyperlink" Target="https://www.aliexpress.us/item/3256812921280802.html" TargetMode="External"/><Relationship Id="rId661" Type="http://schemas.openxmlformats.org/officeDocument/2006/relationships/hyperlink" Target="https://www.aliexpress.us/item/3256812944579738.html" TargetMode="External"/><Relationship Id="rId662" Type="http://schemas.openxmlformats.org/officeDocument/2006/relationships/hyperlink" Target="https://www.aliexpress.us/item/3256812919390611.html" TargetMode="External"/><Relationship Id="rId663" Type="http://schemas.openxmlformats.org/officeDocument/2006/relationships/hyperlink" Target="https://www.aliexpress.us/item/3256812634149644.html" TargetMode="External"/><Relationship Id="rId664" Type="http://schemas.openxmlformats.org/officeDocument/2006/relationships/hyperlink" Target="https://www.aliexpress.us/item/3256812922951466.html" TargetMode="External"/><Relationship Id="rId665" Type="http://schemas.openxmlformats.org/officeDocument/2006/relationships/hyperlink" Target="https://www.aliexpress.us/item/3256809938115695.html" TargetMode="External"/><Relationship Id="rId666" Type="http://schemas.openxmlformats.org/officeDocument/2006/relationships/hyperlink" Target="https://www.aliexpress.us/item/3256812425632580.html" TargetMode="External"/><Relationship Id="rId667" Type="http://schemas.openxmlformats.org/officeDocument/2006/relationships/hyperlink" Target="https://www.aliexpress.us/item/3256812805217609.html" TargetMode="External"/><Relationship Id="rId668" Type="http://schemas.openxmlformats.org/officeDocument/2006/relationships/hyperlink" Target="https://www.aliexpress.us/item/3256812469171223.html" TargetMode="External"/><Relationship Id="rId669" Type="http://schemas.openxmlformats.org/officeDocument/2006/relationships/hyperlink" Target="https://www.aliexpress.us/item/3256811783036846.html" TargetMode="External"/><Relationship Id="rId670" Type="http://schemas.openxmlformats.org/officeDocument/2006/relationships/hyperlink" Target="https://www.aliexpress.us/item/3256812670638434.html" TargetMode="External"/><Relationship Id="rId671" Type="http://schemas.openxmlformats.org/officeDocument/2006/relationships/hyperlink" Target="https://www.aliexpress.us/item/3256812474877671.html" TargetMode="External"/><Relationship Id="rId672" Type="http://schemas.openxmlformats.org/officeDocument/2006/relationships/hyperlink" Target="https://www.aliexpress.us/item/3256812758681948.html" TargetMode="External"/><Relationship Id="rId673" Type="http://schemas.openxmlformats.org/officeDocument/2006/relationships/hyperlink" Target="https://www.aliexpress.us/item/3256812622958127.html" TargetMode="External"/><Relationship Id="rId674" Type="http://schemas.openxmlformats.org/officeDocument/2006/relationships/hyperlink" Target="https://www.aliexpress.us/item/3256812487945411.html" TargetMode="External"/><Relationship Id="rId675" Type="http://schemas.openxmlformats.org/officeDocument/2006/relationships/hyperlink" Target="https://www.aliexpress.us/item/3256812980174186.html" TargetMode="External"/><Relationship Id="rId676" Type="http://schemas.openxmlformats.org/officeDocument/2006/relationships/hyperlink" Target="https://www.aliexpress.us/item/3256813035582324.html" TargetMode="External"/><Relationship Id="rId677" Type="http://schemas.openxmlformats.org/officeDocument/2006/relationships/hyperlink" Target="https://www.aliexpress.us/item/3256813036739235.html" TargetMode="External"/><Relationship Id="rId678" Type="http://schemas.openxmlformats.org/officeDocument/2006/relationships/hyperlink" Target="https://www.aliexpress.us/item/3256812391998304.html" TargetMode="External"/><Relationship Id="rId679" Type="http://schemas.openxmlformats.org/officeDocument/2006/relationships/hyperlink" Target="https://www.aliexpress.us/item/3256812263367368.html" TargetMode="External"/><Relationship Id="rId680" Type="http://schemas.openxmlformats.org/officeDocument/2006/relationships/hyperlink" Target="https://www.aliexpress.us/item/3256812932395415.html" TargetMode="External"/><Relationship Id="rId681" Type="http://schemas.openxmlformats.org/officeDocument/2006/relationships/hyperlink" Target="https://www.aliexpress.us/item/3256811617400879.html" TargetMode="External"/><Relationship Id="rId682" Type="http://schemas.openxmlformats.org/officeDocument/2006/relationships/hyperlink" Target="https://www.aliexpress.us/item/3256810225069173.html" TargetMode="External"/><Relationship Id="rId683" Type="http://schemas.openxmlformats.org/officeDocument/2006/relationships/hyperlink" Target="https://www.aliexpress.us/item/3256810225073732.html" TargetMode="External"/><Relationship Id="rId684" Type="http://schemas.openxmlformats.org/officeDocument/2006/relationships/hyperlink" Target="https://www.aliexpress.us/item/3256810087685259.html" TargetMode="External"/><Relationship Id="rId685" Type="http://schemas.openxmlformats.org/officeDocument/2006/relationships/hyperlink" Target="https://www.aliexpress.us/item/3256809931617132.html" TargetMode="External"/><Relationship Id="rId686" Type="http://schemas.openxmlformats.org/officeDocument/2006/relationships/hyperlink" Target="https://www.aliexpress.us/item/3256810037758771.html" TargetMode="External"/><Relationship Id="rId687" Type="http://schemas.openxmlformats.org/officeDocument/2006/relationships/hyperlink" Target="https://www.aliexpress.us/item/3256809931629757.html" TargetMode="External"/><Relationship Id="rId688" Type="http://schemas.openxmlformats.org/officeDocument/2006/relationships/hyperlink" Target="https://www.aliexpress.us/item/3256804835842304.html" TargetMode="External"/><Relationship Id="rId689" Type="http://schemas.openxmlformats.org/officeDocument/2006/relationships/hyperlink" Target="https://www.aliexpress.us/item/3256813063220212.html" TargetMode="External"/><Relationship Id="rId690" Type="http://schemas.openxmlformats.org/officeDocument/2006/relationships/hyperlink" Target="https://www.aliexpress.us/item/3256811792421160.html" TargetMode="External"/><Relationship Id="rId691" Type="http://schemas.openxmlformats.org/officeDocument/2006/relationships/hyperlink" Target="https://www.aliexpress.us/item/3256812999022299.html" TargetMode="External"/><Relationship Id="rId692" Type="http://schemas.openxmlformats.org/officeDocument/2006/relationships/hyperlink" Target="https://www.aliexpress.us/item/3256813037714070.html" TargetMode="External"/><Relationship Id="rId693" Type="http://schemas.openxmlformats.org/officeDocument/2006/relationships/hyperlink" Target="https://www.aliexpress.us/item/3256806628781827.html" TargetMode="External"/><Relationship Id="rId694" Type="http://schemas.openxmlformats.org/officeDocument/2006/relationships/hyperlink" Target="https://www.aliexpress.us/item/3256812704701918.html" TargetMode="External"/><Relationship Id="rId695" Type="http://schemas.openxmlformats.org/officeDocument/2006/relationships/hyperlink" Target="https://www.aliexpress.us/item/3256812143784209.html" TargetMode="External"/><Relationship Id="rId696" Type="http://schemas.openxmlformats.org/officeDocument/2006/relationships/hyperlink" Target="https://www.aliexpress.us/item/3256813016236198.html" TargetMode="External"/><Relationship Id="rId697" Type="http://schemas.openxmlformats.org/officeDocument/2006/relationships/hyperlink" Target="https://www.aliexpress.us/item/3256812962750685.html" TargetMode="External"/><Relationship Id="rId698" Type="http://schemas.openxmlformats.org/officeDocument/2006/relationships/hyperlink" Target="https://www.aliexpress.us/item/3256813021923637.html" TargetMode="External"/><Relationship Id="rId699" Type="http://schemas.openxmlformats.org/officeDocument/2006/relationships/hyperlink" Target="https://www.aliexpress.us/item/3256812996392884.html" TargetMode="External"/><Relationship Id="rId700" Type="http://schemas.openxmlformats.org/officeDocument/2006/relationships/hyperlink" Target="https://www.aliexpress.us/item/3256813022127031.html" TargetMode="External"/><Relationship Id="rId701" Type="http://schemas.openxmlformats.org/officeDocument/2006/relationships/hyperlink" Target="https://www.aliexpress.us/item/3256812826758932.html" TargetMode="External"/><Relationship Id="rId702" Type="http://schemas.openxmlformats.org/officeDocument/2006/relationships/hyperlink" Target="https://www.aliexpress.us/item/3256812770429920.html" TargetMode="External"/><Relationship Id="rId703" Type="http://schemas.openxmlformats.org/officeDocument/2006/relationships/hyperlink" Target="https://www.aliexpress.us/item/3256804790805138.html" TargetMode="External"/><Relationship Id="rId704" Type="http://schemas.openxmlformats.org/officeDocument/2006/relationships/hyperlink" Target="https://www.aliexpress.us/item/3256812638107573.html" TargetMode="External"/><Relationship Id="rId705" Type="http://schemas.openxmlformats.org/officeDocument/2006/relationships/hyperlink" Target="https://www.aliexpress.us/item/3256809918206213.html" TargetMode="External"/><Relationship Id="rId706" Type="http://schemas.openxmlformats.org/officeDocument/2006/relationships/hyperlink" Target="https://www.aliexpress.us/item/3256807885570210.html" TargetMode="External"/><Relationship Id="rId707" Type="http://schemas.openxmlformats.org/officeDocument/2006/relationships/hyperlink" Target="https://www.aliexpress.us/item/3256811795545508.html" TargetMode="External"/><Relationship Id="rId708" Type="http://schemas.openxmlformats.org/officeDocument/2006/relationships/hyperlink" Target="https://www.aliexpress.us/item/3256812808379651.html" TargetMode="External"/><Relationship Id="rId709" Type="http://schemas.openxmlformats.org/officeDocument/2006/relationships/hyperlink" Target="https://www.aliexpress.us/item/3256809825233850.html" TargetMode="External"/><Relationship Id="rId710" Type="http://schemas.openxmlformats.org/officeDocument/2006/relationships/hyperlink" Target="https://www.aliexpress.us/item/3256809825852752.html" TargetMode="External"/><Relationship Id="rId711" Type="http://schemas.openxmlformats.org/officeDocument/2006/relationships/hyperlink" Target="https://www.aliexpress.us/item/3256809826015325.html" TargetMode="External"/><Relationship Id="rId712" Type="http://schemas.openxmlformats.org/officeDocument/2006/relationships/hyperlink" Target="https://www.aliexpress.us/item/3256809327527894.html" TargetMode="External"/><Relationship Id="rId713" Type="http://schemas.openxmlformats.org/officeDocument/2006/relationships/hyperlink" Target="https://www.aliexpress.us/item/3256804835821506.html" TargetMode="External"/><Relationship Id="rId714" Type="http://schemas.openxmlformats.org/officeDocument/2006/relationships/hyperlink" Target="https://www.aliexpress.us/item/3256811365643714.html" TargetMode="External"/><Relationship Id="rId715" Type="http://schemas.openxmlformats.org/officeDocument/2006/relationships/hyperlink" Target="https://www.aliexpress.us/item/3256812597806802.html" TargetMode="External"/><Relationship Id="rId716" Type="http://schemas.openxmlformats.org/officeDocument/2006/relationships/hyperlink" Target="https://www.aliexpress.us/item/3256812866698319.html" TargetMode="External"/><Relationship Id="rId717" Type="http://schemas.openxmlformats.org/officeDocument/2006/relationships/hyperlink" Target="https://www.aliexpress.us/item/3256803971223400.html" TargetMode="External"/><Relationship Id="rId718" Type="http://schemas.openxmlformats.org/officeDocument/2006/relationships/hyperlink" Target="https://www.aliexpress.us/item/3256812170039983.html" TargetMode="External"/><Relationship Id="rId719" Type="http://schemas.openxmlformats.org/officeDocument/2006/relationships/hyperlink" Target="https://www.aliexpress.us/item/3256812290602853.html" TargetMode="External"/><Relationship Id="rId720" Type="http://schemas.openxmlformats.org/officeDocument/2006/relationships/hyperlink" Target="https://www.aliexpress.us/item/3256809984457693.html" TargetMode="External"/><Relationship Id="rId721" Type="http://schemas.openxmlformats.org/officeDocument/2006/relationships/hyperlink" Target="https://www.aliexpress.us/item/3256812290971213.html" TargetMode="External"/><Relationship Id="rId722" Type="http://schemas.openxmlformats.org/officeDocument/2006/relationships/hyperlink" Target="https://www.aliexpress.us/item/3256812607540992.html" TargetMode="External"/><Relationship Id="rId723" Type="http://schemas.openxmlformats.org/officeDocument/2006/relationships/hyperlink" Target="https://www.aliexpress.us/item/3256812343925631.html" TargetMode="External"/><Relationship Id="rId724" Type="http://schemas.openxmlformats.org/officeDocument/2006/relationships/hyperlink" Target="https://www.aliexpress.us/item/3256812955864365.html" TargetMode="External"/><Relationship Id="rId725" Type="http://schemas.openxmlformats.org/officeDocument/2006/relationships/hyperlink" Target="https://www.aliexpress.us/item/3256812956285566.html" TargetMode="External"/><Relationship Id="rId726" Type="http://schemas.openxmlformats.org/officeDocument/2006/relationships/hyperlink" Target="https://www.aliexpress.us/item/3256812946066477.html" TargetMode="External"/><Relationship Id="rId727" Type="http://schemas.openxmlformats.org/officeDocument/2006/relationships/hyperlink" Target="https://www.aliexpress.us/item/3256812945970603.html" TargetMode="External"/><Relationship Id="rId728" Type="http://schemas.openxmlformats.org/officeDocument/2006/relationships/hyperlink" Target="https://www.aliexpress.us/item/3256812928026939.html" TargetMode="External"/><Relationship Id="rId729" Type="http://schemas.openxmlformats.org/officeDocument/2006/relationships/hyperlink" Target="https://www.aliexpress.us/item/3256812758781274.html" TargetMode="External"/><Relationship Id="rId730" Type="http://schemas.openxmlformats.org/officeDocument/2006/relationships/hyperlink" Target="https://www.aliexpress.us/item/3256809898078294.html" TargetMode="External"/><Relationship Id="rId731" Type="http://schemas.openxmlformats.org/officeDocument/2006/relationships/hyperlink" Target="https://www.aliexpress.us/item/3256805870545865.html" TargetMode="External"/><Relationship Id="rId732" Type="http://schemas.openxmlformats.org/officeDocument/2006/relationships/hyperlink" Target="https://www.aliexpress.us/item/3256812909209767.html" TargetMode="External"/><Relationship Id="rId733" Type="http://schemas.openxmlformats.org/officeDocument/2006/relationships/hyperlink" Target="https://www.aliexpress.us/item/3256812682098677.html" TargetMode="External"/><Relationship Id="rId734" Type="http://schemas.openxmlformats.org/officeDocument/2006/relationships/hyperlink" Target="https://www.aliexpress.us/item/3256812944631474.html" TargetMode="External"/><Relationship Id="rId735" Type="http://schemas.openxmlformats.org/officeDocument/2006/relationships/hyperlink" Target="https://www.aliexpress.us/item/3256812913771080.html" TargetMode="External"/><Relationship Id="rId736" Type="http://schemas.openxmlformats.org/officeDocument/2006/relationships/hyperlink" Target="https://www.aliexpress.us/item/3256812908603166.html" TargetMode="External"/><Relationship Id="rId737" Type="http://schemas.openxmlformats.org/officeDocument/2006/relationships/hyperlink" Target="https://www.aliexpress.us/item/3256812845907473.html" TargetMode="External"/><Relationship Id="rId738" Type="http://schemas.openxmlformats.org/officeDocument/2006/relationships/hyperlink" Target="https://www.aliexpress.us/item/3256812746909465.html" TargetMode="External"/><Relationship Id="rId739" Type="http://schemas.openxmlformats.org/officeDocument/2006/relationships/hyperlink" Target="https://www.aliexpress.us/item/3256812847492501.html" TargetMode="External"/><Relationship Id="rId740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liexpress.ru/item/1005010208916818.html" TargetMode="External"/><Relationship Id="rId2" Type="http://schemas.openxmlformats.org/officeDocument/2006/relationships/hyperlink" Target="https://aliexpress.ru/item/1005010208916818.html" TargetMode="External"/><Relationship Id="rId3" Type="http://schemas.openxmlformats.org/officeDocument/2006/relationships/hyperlink" Target="https://aliexpress.ru/item/1005010208916818.html" TargetMode="External"/><Relationship Id="rId4" Type="http://schemas.openxmlformats.org/officeDocument/2006/relationships/hyperlink" Target="https://aliexpress.ru/item/1005010208916818.html" TargetMode="External"/><Relationship Id="rId5" Type="http://schemas.openxmlformats.org/officeDocument/2006/relationships/hyperlink" Target="https://aliexpress.ru/item/1005010208916818.html" TargetMode="External"/><Relationship Id="rId6" Type="http://schemas.openxmlformats.org/officeDocument/2006/relationships/hyperlink" Target="https://aliexpress.ru/item/1005010208916818.html" TargetMode="External"/><Relationship Id="rId7" Type="http://schemas.openxmlformats.org/officeDocument/2006/relationships/hyperlink" Target="https://aliexpress.ru/item/1005010208916818.html" TargetMode="External"/><Relationship Id="rId8" Type="http://schemas.openxmlformats.org/officeDocument/2006/relationships/hyperlink" Target="https://aliexpress.ru/item/1005010208916818.html" TargetMode="External"/><Relationship Id="rId9" Type="http://schemas.openxmlformats.org/officeDocument/2006/relationships/hyperlink" Target="https://aliexpress.ru/item/1005010208916818.html" TargetMode="External"/><Relationship Id="rId10" Type="http://schemas.openxmlformats.org/officeDocument/2006/relationships/hyperlink" Target="https://aliexpress.ru/item/1005010208916818.html" TargetMode="External"/><Relationship Id="rId11" Type="http://schemas.openxmlformats.org/officeDocument/2006/relationships/hyperlink" Target="https://aliexpress.ru/item/1005010208916818.html" TargetMode="External"/><Relationship Id="rId12" Type="http://schemas.openxmlformats.org/officeDocument/2006/relationships/hyperlink" Target="https://aliexpress.ru/item/1005010208755468.html" TargetMode="External"/><Relationship Id="rId13" Type="http://schemas.openxmlformats.org/officeDocument/2006/relationships/hyperlink" Target="https://aliexpress.ru/item/1005010208755468.html" TargetMode="External"/><Relationship Id="rId14" Type="http://schemas.openxmlformats.org/officeDocument/2006/relationships/hyperlink" Target="https://aliexpress.ru/item/1005010208755468.html" TargetMode="External"/><Relationship Id="rId15" Type="http://schemas.openxmlformats.org/officeDocument/2006/relationships/hyperlink" Target="https://aliexpress.ru/item/1005010208755468.html" TargetMode="External"/><Relationship Id="rId16" Type="http://schemas.openxmlformats.org/officeDocument/2006/relationships/hyperlink" Target="https://aliexpress.ru/item/1005010208755468.html" TargetMode="External"/><Relationship Id="rId17" Type="http://schemas.openxmlformats.org/officeDocument/2006/relationships/hyperlink" Target="https://aliexpress.ru/item/1005010208755468.html" TargetMode="External"/><Relationship Id="rId18" Type="http://schemas.openxmlformats.org/officeDocument/2006/relationships/hyperlink" Target="https://aliexpress.ru/item/1005010208755468.html" TargetMode="External"/><Relationship Id="rId19" Type="http://schemas.openxmlformats.org/officeDocument/2006/relationships/hyperlink" Target="https://aliexpress.ru/item/1005010208755468.html" TargetMode="External"/><Relationship Id="rId20" Type="http://schemas.openxmlformats.org/officeDocument/2006/relationships/hyperlink" Target="https://aliexpress.ru/item/1005010208755468.html" TargetMode="External"/><Relationship Id="rId21" Type="http://schemas.openxmlformats.org/officeDocument/2006/relationships/hyperlink" Target="https://aliexpress.ru/item/1005010208755468.html" TargetMode="External"/><Relationship Id="rId22" Type="http://schemas.openxmlformats.org/officeDocument/2006/relationships/hyperlink" Target="https://aliexpress.ru/item/1005010208755468.html" TargetMode="External"/><Relationship Id="rId23" Type="http://schemas.openxmlformats.org/officeDocument/2006/relationships/hyperlink" Target="https://aliexpress.ru/item/1005010208755468.html" TargetMode="External"/><Relationship Id="rId24" Type="http://schemas.openxmlformats.org/officeDocument/2006/relationships/hyperlink" Target="https://aliexpress.ru/item/1005010208755468.html" TargetMode="External"/><Relationship Id="rId25" Type="http://schemas.openxmlformats.org/officeDocument/2006/relationships/hyperlink" Target="https://aliexpress.ru/item/1005010208755468.html" TargetMode="External"/><Relationship Id="rId26" Type="http://schemas.openxmlformats.org/officeDocument/2006/relationships/hyperlink" Target="https://aliexpress.ru/item/1005010208755468.html" TargetMode="External"/><Relationship Id="rId27" Type="http://schemas.openxmlformats.org/officeDocument/2006/relationships/hyperlink" Target="https://aliexpress.ru/item/1005010208755468.html" TargetMode="External"/><Relationship Id="rId28" Type="http://schemas.openxmlformats.org/officeDocument/2006/relationships/hyperlink" Target="https://aliexpress.ru/item/1005010208755468.html" TargetMode="External"/><Relationship Id="rId29" Type="http://schemas.openxmlformats.org/officeDocument/2006/relationships/hyperlink" Target="https://aliexpress.ru/item/1005010208755468.html" TargetMode="External"/><Relationship Id="rId30" Type="http://schemas.openxmlformats.org/officeDocument/2006/relationships/hyperlink" Target="https://aliexpress.ru/item/1005010208755468.html" TargetMode="External"/><Relationship Id="rId31" Type="http://schemas.openxmlformats.org/officeDocument/2006/relationships/hyperlink" Target="https://aliexpress.ru/item/1005013123378832.html" TargetMode="External"/><Relationship Id="rId32" Type="http://schemas.openxmlformats.org/officeDocument/2006/relationships/hyperlink" Target="https://aliexpress.ru/item/1005013123378832.html" TargetMode="External"/><Relationship Id="rId33" Type="http://schemas.openxmlformats.org/officeDocument/2006/relationships/hyperlink" Target="https://aliexpress.ru/item/1005013034982313.html" TargetMode="External"/><Relationship Id="rId34" Type="http://schemas.openxmlformats.org/officeDocument/2006/relationships/hyperlink" Target="https://aliexpress.ru/item/1005013034982313.html" TargetMode="External"/><Relationship Id="rId35" Type="http://schemas.openxmlformats.org/officeDocument/2006/relationships/hyperlink" Target="https://aliexpress.ru/item/1005009397158416.html" TargetMode="External"/><Relationship Id="rId36" Type="http://schemas.openxmlformats.org/officeDocument/2006/relationships/hyperlink" Target="https://aliexpress.ru/item/1005009397158416.html" TargetMode="External"/><Relationship Id="rId37" Type="http://schemas.openxmlformats.org/officeDocument/2006/relationships/hyperlink" Target="https://aliexpress.ru/item/1005009397158416.html" TargetMode="External"/><Relationship Id="rId38" Type="http://schemas.openxmlformats.org/officeDocument/2006/relationships/hyperlink" Target="https://aliexpress.ru/item/1005009397158416.html" TargetMode="External"/><Relationship Id="rId39" Type="http://schemas.openxmlformats.org/officeDocument/2006/relationships/hyperlink" Target="https://aliexpress.ru/item/1005009397158416.html" TargetMode="External"/><Relationship Id="rId40" Type="http://schemas.openxmlformats.org/officeDocument/2006/relationships/hyperlink" Target="https://aliexpress.ru/item/1005009397158416.html" TargetMode="External"/><Relationship Id="rId41" Type="http://schemas.openxmlformats.org/officeDocument/2006/relationships/hyperlink" Target="https://aliexpress.ru/item/1005009397158416.html" TargetMode="External"/><Relationship Id="rId42" Type="http://schemas.openxmlformats.org/officeDocument/2006/relationships/hyperlink" Target="https://aliexpress.ru/item/1005009081001375.html" TargetMode="External"/><Relationship Id="rId43" Type="http://schemas.openxmlformats.org/officeDocument/2006/relationships/hyperlink" Target="https://aliexpress.ru/item/1005009081001375.html" TargetMode="External"/><Relationship Id="rId44" Type="http://schemas.openxmlformats.org/officeDocument/2006/relationships/hyperlink" Target="https://aliexpress.ru/item/1005009081001375.html" TargetMode="External"/><Relationship Id="rId45" Type="http://schemas.openxmlformats.org/officeDocument/2006/relationships/hyperlink" Target="https://aliexpress.ru/item/1005009081001375.html" TargetMode="External"/><Relationship Id="rId46" Type="http://schemas.openxmlformats.org/officeDocument/2006/relationships/hyperlink" Target="https://aliexpress.ru/item/1005009081001375.html" TargetMode="External"/><Relationship Id="rId47" Type="http://schemas.openxmlformats.org/officeDocument/2006/relationships/hyperlink" Target="https://aliexpress.ru/item/1005009081001375.html" TargetMode="External"/><Relationship Id="rId48" Type="http://schemas.openxmlformats.org/officeDocument/2006/relationships/hyperlink" Target="https://aliexpress.ru/item/1005009081001375.html" TargetMode="External"/><Relationship Id="rId49" Type="http://schemas.openxmlformats.org/officeDocument/2006/relationships/hyperlink" Target="https://aliexpress.ru/item/1005009085028182.html" TargetMode="External"/><Relationship Id="rId50" Type="http://schemas.openxmlformats.org/officeDocument/2006/relationships/hyperlink" Target="https://aliexpress.ru/item/1005009085028182.html" TargetMode="External"/><Relationship Id="rId51" Type="http://schemas.openxmlformats.org/officeDocument/2006/relationships/hyperlink" Target="https://aliexpress.ru/item/1005010633502926.html" TargetMode="External"/><Relationship Id="rId52" Type="http://schemas.openxmlformats.org/officeDocument/2006/relationships/hyperlink" Target="https://aliexpress.ru/item/1005010633502926.html" TargetMode="External"/><Relationship Id="rId53" Type="http://schemas.openxmlformats.org/officeDocument/2006/relationships/hyperlink" Target="https://aliexpress.ru/item/1005010633502926.html" TargetMode="External"/><Relationship Id="rId54" Type="http://schemas.openxmlformats.org/officeDocument/2006/relationships/hyperlink" Target="https://aliexpress.ru/item/1005010633502926.html" TargetMode="External"/><Relationship Id="rId55" Type="http://schemas.openxmlformats.org/officeDocument/2006/relationships/hyperlink" Target="https://aliexpress.ru/item/1005010633502926.html" TargetMode="External"/><Relationship Id="rId56" Type="http://schemas.openxmlformats.org/officeDocument/2006/relationships/hyperlink" Target="https://aliexpress.ru/item/1005010633502926.html" TargetMode="External"/><Relationship Id="rId57" Type="http://schemas.openxmlformats.org/officeDocument/2006/relationships/hyperlink" Target="https://aliexpress.ru/item/1005010633502926.html" TargetMode="External"/><Relationship Id="rId58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6" min="4" style="0" width="11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5" min="14" style="0" width="17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</row>
    <row r="5" customFormat="false" ht="15" hidden="false" customHeight="false" outlineLevel="0" collapsed="false">
      <c r="A5" s="4" t="s">
        <v>21</v>
      </c>
      <c r="B5" s="5" t="s">
        <v>22</v>
      </c>
      <c r="C5" s="6" t="s">
        <v>23</v>
      </c>
      <c r="D5" s="7" t="n">
        <v>789</v>
      </c>
      <c r="E5" s="8" t="n">
        <f aca="false">IF(D5="","",IF(D5&lt;Параметры!$B$4,CEILING(D5*Параметры!$B$5,100)-10,IF(D5&lt;=Параметры!$B$6,CEILING(D5*Параметры!$B$7,100)-10,CEILING(D5*Параметры!$B$8,100)-10)))</f>
        <v>1590</v>
      </c>
      <c r="F5" s="8" t="n">
        <f aca="false">IF(D5="","",ROUND(E5*(1-Параметры!$B$9-Параметры!$B$10-Параметры!$B$11)-D5,0))</f>
        <v>570</v>
      </c>
      <c r="G5" s="9" t="s">
        <v>24</v>
      </c>
      <c r="H5" s="9" t="s">
        <v>25</v>
      </c>
      <c r="I5" s="9" t="s">
        <v>26</v>
      </c>
      <c r="J5" s="9" t="n">
        <v>2025</v>
      </c>
      <c r="K5" s="7" t="n">
        <v>1947</v>
      </c>
      <c r="L5" s="10" t="n">
        <v>4.9</v>
      </c>
      <c r="M5" s="11" t="s">
        <v>27</v>
      </c>
      <c r="N5" s="6" t="s">
        <v>28</v>
      </c>
      <c r="O5" s="12" t="s">
        <v>29</v>
      </c>
      <c r="P5" s="9" t="str">
        <f aca="false">IF(COUNTIFS($G$5:$G$66,G5,$H$5:$H$66,H5,$I$5:$I$66,I5,$C$5:$C$66,C5)&gt;1,"повтор","")</f>
        <v/>
      </c>
      <c r="Q5" s="9" t="str">
        <f aca="false">IF(C5&lt;&gt;"1:24","",IF(D5="","проверить",IF(D5&lt;=Параметры!$B$12,"ок","дороже лимита")))</f>
        <v/>
      </c>
      <c r="R5" s="13"/>
    </row>
    <row r="6" customFormat="false" ht="15" hidden="false" customHeight="false" outlineLevel="0" collapsed="false">
      <c r="A6" s="4" t="s">
        <v>21</v>
      </c>
      <c r="B6" s="5" t="s">
        <v>30</v>
      </c>
      <c r="C6" s="6" t="s">
        <v>23</v>
      </c>
      <c r="D6" s="7" t="n">
        <v>789</v>
      </c>
      <c r="E6" s="8" t="n">
        <f aca="false">IF(D6="","",IF(D6&lt;Параметры!$B$4,CEILING(D6*Параметры!$B$5,100)-10,IF(D6&lt;=Параметры!$B$6,CEILING(D6*Параметры!$B$7,100)-10,CEILING(D6*Параметры!$B$8,100)-10)))</f>
        <v>1590</v>
      </c>
      <c r="F6" s="8" t="n">
        <f aca="false">IF(D6="","",ROUND(E6*(1-Параметры!$B$9-Параметры!$B$10-Параметры!$B$11)-D6,0))</f>
        <v>570</v>
      </c>
      <c r="G6" s="9" t="s">
        <v>24</v>
      </c>
      <c r="H6" s="9" t="s">
        <v>25</v>
      </c>
      <c r="I6" s="9" t="s">
        <v>31</v>
      </c>
      <c r="J6" s="9" t="n">
        <v>2025</v>
      </c>
      <c r="K6" s="7" t="n">
        <v>1947</v>
      </c>
      <c r="L6" s="10" t="n">
        <v>4.9</v>
      </c>
      <c r="M6" s="11" t="s">
        <v>27</v>
      </c>
      <c r="N6" s="6" t="s">
        <v>32</v>
      </c>
      <c r="O6" s="12" t="s">
        <v>29</v>
      </c>
      <c r="P6" s="9" t="str">
        <f aca="false">IF(COUNTIFS($G$5:$G$66,G6,$H$5:$H$66,H6,$I$5:$I$66,I6,$C$5:$C$66,C6)&gt;1,"повтор","")</f>
        <v/>
      </c>
      <c r="Q6" s="9" t="str">
        <f aca="false">IF(C6&lt;&gt;"1:24","",IF(D6="","проверить",IF(D6&lt;=Параметры!$B$12,"ок","дороже лимита")))</f>
        <v/>
      </c>
      <c r="R6" s="13" t="s">
        <v>33</v>
      </c>
    </row>
    <row r="7" customFormat="false" ht="15" hidden="false" customHeight="false" outlineLevel="0" collapsed="false">
      <c r="A7" s="4" t="s">
        <v>21</v>
      </c>
      <c r="B7" s="5" t="s">
        <v>34</v>
      </c>
      <c r="C7" s="6" t="s">
        <v>23</v>
      </c>
      <c r="D7" s="7" t="n">
        <v>879</v>
      </c>
      <c r="E7" s="8" t="n">
        <f aca="false">IF(D7="","",IF(D7&lt;Параметры!$B$4,CEILING(D7*Параметры!$B$5,100)-10,IF(D7&lt;=Параметры!$B$6,CEILING(D7*Параметры!$B$7,100)-10,CEILING(D7*Параметры!$B$8,100)-10)))</f>
        <v>1790</v>
      </c>
      <c r="F7" s="8" t="n">
        <f aca="false">IF(D7="","",ROUND(E7*(1-Параметры!$B$9-Параметры!$B$10-Параметры!$B$11)-D7,0))</f>
        <v>651</v>
      </c>
      <c r="G7" s="9" t="s">
        <v>24</v>
      </c>
      <c r="H7" s="9" t="s">
        <v>35</v>
      </c>
      <c r="I7" s="9" t="s">
        <v>26</v>
      </c>
      <c r="J7" s="9" t="n">
        <v>2025</v>
      </c>
      <c r="K7" s="7" t="n">
        <v>791</v>
      </c>
      <c r="L7" s="10" t="n">
        <v>4.9</v>
      </c>
      <c r="M7" s="11" t="s">
        <v>27</v>
      </c>
      <c r="N7" s="6" t="s">
        <v>36</v>
      </c>
      <c r="O7" s="12"/>
      <c r="P7" s="9" t="str">
        <f aca="false">IF(COUNTIFS($G$5:$G$66,G7,$H$5:$H$66,H7,$I$5:$I$66,I7,$C$5:$C$66,C7)&gt;1,"повтор","")</f>
        <v/>
      </c>
      <c r="Q7" s="9" t="str">
        <f aca="false">IF(C7&lt;&gt;"1:24","",IF(D7="","проверить",IF(D7&lt;=Параметры!$B$12,"ок","дороже лимита")))</f>
        <v/>
      </c>
      <c r="R7" s="13"/>
    </row>
    <row r="8" customFormat="false" ht="15" hidden="false" customHeight="false" outlineLevel="0" collapsed="false">
      <c r="A8" s="4" t="s">
        <v>21</v>
      </c>
      <c r="B8" s="5" t="s">
        <v>37</v>
      </c>
      <c r="C8" s="6" t="s">
        <v>23</v>
      </c>
      <c r="D8" s="7" t="n">
        <v>789</v>
      </c>
      <c r="E8" s="8" t="n">
        <f aca="false">IF(D8="","",IF(D8&lt;Параметры!$B$4,CEILING(D8*Параметры!$B$5,100)-10,IF(D8&lt;=Параметры!$B$6,CEILING(D8*Параметры!$B$7,100)-10,CEILING(D8*Параметры!$B$8,100)-10)))</f>
        <v>1590</v>
      </c>
      <c r="F8" s="8" t="n">
        <f aca="false">IF(D8="","",ROUND(E8*(1-Параметры!$B$9-Параметры!$B$10-Параметры!$B$11)-D8,0))</f>
        <v>570</v>
      </c>
      <c r="G8" s="9" t="s">
        <v>24</v>
      </c>
      <c r="H8" s="9" t="s">
        <v>35</v>
      </c>
      <c r="I8" s="9" t="s">
        <v>31</v>
      </c>
      <c r="J8" s="9" t="n">
        <v>2025</v>
      </c>
      <c r="K8" s="7" t="n">
        <v>1947</v>
      </c>
      <c r="L8" s="10" t="n">
        <v>4.9</v>
      </c>
      <c r="M8" s="11" t="s">
        <v>27</v>
      </c>
      <c r="N8" s="6" t="s">
        <v>38</v>
      </c>
      <c r="O8" s="12" t="s">
        <v>29</v>
      </c>
      <c r="P8" s="9" t="str">
        <f aca="false">IF(COUNTIFS($G$5:$G$66,G8,$H$5:$H$66,H8,$I$5:$I$66,I8,$C$5:$C$66,C8)&gt;1,"повтор","")</f>
        <v/>
      </c>
      <c r="Q8" s="9" t="str">
        <f aca="false">IF(C8&lt;&gt;"1:24","",IF(D8="","проверить",IF(D8&lt;=Параметры!$B$12,"ок","дороже лимита")))</f>
        <v/>
      </c>
      <c r="R8" s="13" t="s">
        <v>33</v>
      </c>
    </row>
    <row r="9" customFormat="false" ht="15" hidden="false" customHeight="false" outlineLevel="0" collapsed="false">
      <c r="A9" s="4" t="s">
        <v>21</v>
      </c>
      <c r="B9" s="5" t="s">
        <v>39</v>
      </c>
      <c r="C9" s="6" t="s">
        <v>23</v>
      </c>
      <c r="D9" s="7" t="n">
        <v>879</v>
      </c>
      <c r="E9" s="8" t="n">
        <f aca="false">IF(D9="","",IF(D9&lt;Параметры!$B$4,CEILING(D9*Параметры!$B$5,100)-10,IF(D9&lt;=Параметры!$B$6,CEILING(D9*Параметры!$B$7,100)-10,CEILING(D9*Параметры!$B$8,100)-10)))</f>
        <v>1790</v>
      </c>
      <c r="F9" s="8" t="n">
        <f aca="false">IF(D9="","",ROUND(E9*(1-Параметры!$B$9-Параметры!$B$10-Параметры!$B$11)-D9,0))</f>
        <v>651</v>
      </c>
      <c r="G9" s="9" t="s">
        <v>40</v>
      </c>
      <c r="H9" s="9" t="s">
        <v>41</v>
      </c>
      <c r="I9" s="9" t="s">
        <v>26</v>
      </c>
      <c r="J9" s="9" t="n">
        <v>2025</v>
      </c>
      <c r="K9" s="7" t="n">
        <v>791</v>
      </c>
      <c r="L9" s="10" t="n">
        <v>4.9</v>
      </c>
      <c r="M9" s="11" t="s">
        <v>27</v>
      </c>
      <c r="N9" s="6" t="s">
        <v>42</v>
      </c>
      <c r="O9" s="12"/>
      <c r="P9" s="9" t="str">
        <f aca="false">IF(COUNTIFS($G$5:$G$66,G9,$H$5:$H$66,H9,$I$5:$I$66,I9,$C$5:$C$66,C9)&gt;1,"повтор","")</f>
        <v/>
      </c>
      <c r="Q9" s="9" t="str">
        <f aca="false">IF(C9&lt;&gt;"1:24","",IF(D9="","проверить",IF(D9&lt;=Параметры!$B$12,"ок","дороже лимита")))</f>
        <v/>
      </c>
      <c r="R9" s="13"/>
    </row>
    <row r="10" customFormat="false" ht="15" hidden="false" customHeight="false" outlineLevel="0" collapsed="false">
      <c r="A10" s="4" t="s">
        <v>21</v>
      </c>
      <c r="B10" s="5" t="s">
        <v>43</v>
      </c>
      <c r="C10" s="6" t="s">
        <v>23</v>
      </c>
      <c r="D10" s="7" t="n">
        <v>789</v>
      </c>
      <c r="E10" s="8" t="n">
        <f aca="false">IF(D10="","",IF(D10&lt;Параметры!$B$4,CEILING(D10*Параметры!$B$5,100)-10,IF(D10&lt;=Параметры!$B$6,CEILING(D10*Параметры!$B$7,100)-10,CEILING(D10*Параметры!$B$8,100)-10)))</f>
        <v>1590</v>
      </c>
      <c r="F10" s="8" t="n">
        <f aca="false">IF(D10="","",ROUND(E10*(1-Параметры!$B$9-Параметры!$B$10-Параметры!$B$11)-D10,0))</f>
        <v>570</v>
      </c>
      <c r="G10" s="9" t="s">
        <v>40</v>
      </c>
      <c r="H10" s="9" t="s">
        <v>41</v>
      </c>
      <c r="I10" s="9" t="s">
        <v>44</v>
      </c>
      <c r="J10" s="9" t="n">
        <v>2025</v>
      </c>
      <c r="K10" s="7" t="n">
        <v>1947</v>
      </c>
      <c r="L10" s="10" t="n">
        <v>4.9</v>
      </c>
      <c r="M10" s="11" t="s">
        <v>27</v>
      </c>
      <c r="N10" s="6" t="s">
        <v>45</v>
      </c>
      <c r="O10" s="12"/>
      <c r="P10" s="9" t="str">
        <f aca="false">IF(COUNTIFS($G$5:$G$66,G10,$H$5:$H$66,H10,$I$5:$I$66,I10,$C$5:$C$66,C10)&gt;1,"повтор","")</f>
        <v/>
      </c>
      <c r="Q10" s="9" t="str">
        <f aca="false">IF(C10&lt;&gt;"1:24","",IF(D10="","проверить",IF(D10&lt;=Параметры!$B$12,"ок","дороже лимита")))</f>
        <v/>
      </c>
      <c r="R10" s="13" t="s">
        <v>46</v>
      </c>
    </row>
    <row r="11" customFormat="false" ht="15" hidden="false" customHeight="false" outlineLevel="0" collapsed="false">
      <c r="A11" s="4" t="s">
        <v>21</v>
      </c>
      <c r="B11" s="5" t="s">
        <v>47</v>
      </c>
      <c r="C11" s="6" t="s">
        <v>23</v>
      </c>
      <c r="D11" s="7" t="n">
        <v>789</v>
      </c>
      <c r="E11" s="8" t="n">
        <f aca="false">IF(D11="","",IF(D11&lt;Параметры!$B$4,CEILING(D11*Параметры!$B$5,100)-10,IF(D11&lt;=Параметры!$B$6,CEILING(D11*Параметры!$B$7,100)-10,CEILING(D11*Параметры!$B$8,100)-10)))</f>
        <v>1590</v>
      </c>
      <c r="F11" s="8" t="n">
        <f aca="false">IF(D11="","",ROUND(E11*(1-Параметры!$B$9-Параметры!$B$10-Параметры!$B$11)-D11,0))</f>
        <v>570</v>
      </c>
      <c r="G11" s="9" t="s">
        <v>40</v>
      </c>
      <c r="H11" s="9" t="s">
        <v>48</v>
      </c>
      <c r="I11" s="9" t="s">
        <v>26</v>
      </c>
      <c r="J11" s="9" t="n">
        <v>2025</v>
      </c>
      <c r="K11" s="7" t="n">
        <v>1947</v>
      </c>
      <c r="L11" s="10" t="n">
        <v>4.9</v>
      </c>
      <c r="M11" s="11" t="s">
        <v>27</v>
      </c>
      <c r="N11" s="6" t="s">
        <v>49</v>
      </c>
      <c r="O11" s="12" t="s">
        <v>29</v>
      </c>
      <c r="P11" s="9" t="str">
        <f aca="false">IF(COUNTIFS($G$5:$G$66,G11,$H$5:$H$66,H11,$I$5:$I$66,I11,$C$5:$C$66,C11)&gt;1,"повтор","")</f>
        <v/>
      </c>
      <c r="Q11" s="9" t="str">
        <f aca="false">IF(C11&lt;&gt;"1:24","",IF(D11="","проверить",IF(D11&lt;=Параметры!$B$12,"ок","дороже лимита")))</f>
        <v/>
      </c>
      <c r="R11" s="13"/>
    </row>
    <row r="12" customFormat="false" ht="15" hidden="false" customHeight="false" outlineLevel="0" collapsed="false">
      <c r="A12" s="4" t="s">
        <v>21</v>
      </c>
      <c r="B12" s="5" t="s">
        <v>50</v>
      </c>
      <c r="C12" s="6" t="s">
        <v>23</v>
      </c>
      <c r="D12" s="7" t="n">
        <v>789</v>
      </c>
      <c r="E12" s="8" t="n">
        <f aca="false">IF(D12="","",IF(D12&lt;Параметры!$B$4,CEILING(D12*Параметры!$B$5,100)-10,IF(D12&lt;=Параметры!$B$6,CEILING(D12*Параметры!$B$7,100)-10,CEILING(D12*Параметры!$B$8,100)-10)))</f>
        <v>1590</v>
      </c>
      <c r="F12" s="8" t="n">
        <f aca="false">IF(D12="","",ROUND(E12*(1-Параметры!$B$9-Параметры!$B$10-Параметры!$B$11)-D12,0))</f>
        <v>570</v>
      </c>
      <c r="G12" s="9" t="s">
        <v>40</v>
      </c>
      <c r="H12" s="9" t="s">
        <v>48</v>
      </c>
      <c r="I12" s="9" t="s">
        <v>44</v>
      </c>
      <c r="J12" s="9" t="n">
        <v>2025</v>
      </c>
      <c r="K12" s="7" t="n">
        <v>1947</v>
      </c>
      <c r="L12" s="10" t="n">
        <v>4.9</v>
      </c>
      <c r="M12" s="11" t="s">
        <v>27</v>
      </c>
      <c r="N12" s="6" t="s">
        <v>51</v>
      </c>
      <c r="O12" s="12" t="s">
        <v>29</v>
      </c>
      <c r="P12" s="9" t="str">
        <f aca="false">IF(COUNTIFS($G$5:$G$66,G12,$H$5:$H$66,H12,$I$5:$I$66,I12,$C$5:$C$66,C12)&gt;1,"повтор","")</f>
        <v/>
      </c>
      <c r="Q12" s="9" t="str">
        <f aca="false">IF(C12&lt;&gt;"1:24","",IF(D12="","проверить",IF(D12&lt;=Параметры!$B$12,"ок","дороже лимита")))</f>
        <v/>
      </c>
      <c r="R12" s="13" t="s">
        <v>46</v>
      </c>
    </row>
    <row r="13" customFormat="false" ht="15" hidden="false" customHeight="false" outlineLevel="0" collapsed="false">
      <c r="A13" s="4" t="s">
        <v>21</v>
      </c>
      <c r="B13" s="5" t="s">
        <v>52</v>
      </c>
      <c r="C13" s="6" t="s">
        <v>23</v>
      </c>
      <c r="D13" s="7" t="n">
        <v>879</v>
      </c>
      <c r="E13" s="8" t="n">
        <f aca="false">IF(D13="","",IF(D13&lt;Параметры!$B$4,CEILING(D13*Параметры!$B$5,100)-10,IF(D13&lt;=Параметры!$B$6,CEILING(D13*Параметры!$B$7,100)-10,CEILING(D13*Параметры!$B$8,100)-10)))</f>
        <v>1790</v>
      </c>
      <c r="F13" s="8" t="n">
        <f aca="false">IF(D13="","",ROUND(E13*(1-Параметры!$B$9-Параметры!$B$10-Параметры!$B$11)-D13,0))</f>
        <v>651</v>
      </c>
      <c r="G13" s="9" t="s">
        <v>53</v>
      </c>
      <c r="H13" s="9" t="s">
        <v>54</v>
      </c>
      <c r="I13" s="9" t="s">
        <v>26</v>
      </c>
      <c r="J13" s="9" t="n">
        <v>2025</v>
      </c>
      <c r="K13" s="7" t="n">
        <v>791</v>
      </c>
      <c r="L13" s="10" t="n">
        <v>4.9</v>
      </c>
      <c r="M13" s="11" t="s">
        <v>27</v>
      </c>
      <c r="N13" s="6" t="s">
        <v>55</v>
      </c>
      <c r="O13" s="12"/>
      <c r="P13" s="9" t="str">
        <f aca="false">IF(COUNTIFS($G$5:$G$66,G13,$H$5:$H$66,H13,$I$5:$I$66,I13,$C$5:$C$66,C13)&gt;1,"повтор","")</f>
        <v/>
      </c>
      <c r="Q13" s="9" t="str">
        <f aca="false">IF(C13&lt;&gt;"1:24","",IF(D13="","проверить",IF(D13&lt;=Параметры!$B$12,"ок","дороже лимита")))</f>
        <v/>
      </c>
      <c r="R13" s="13"/>
    </row>
    <row r="14" customFormat="false" ht="15" hidden="false" customHeight="false" outlineLevel="0" collapsed="false">
      <c r="A14" s="4" t="s">
        <v>21</v>
      </c>
      <c r="B14" s="5" t="s">
        <v>56</v>
      </c>
      <c r="C14" s="6" t="s">
        <v>23</v>
      </c>
      <c r="D14" s="7" t="n">
        <v>879</v>
      </c>
      <c r="E14" s="8" t="n">
        <f aca="false">IF(D14="","",IF(D14&lt;Параметры!$B$4,CEILING(D14*Параметры!$B$5,100)-10,IF(D14&lt;=Параметры!$B$6,CEILING(D14*Параметры!$B$7,100)-10,CEILING(D14*Параметры!$B$8,100)-10)))</f>
        <v>1790</v>
      </c>
      <c r="F14" s="8" t="n">
        <f aca="false">IF(D14="","",ROUND(E14*(1-Параметры!$B$9-Параметры!$B$10-Параметры!$B$11)-D14,0))</f>
        <v>651</v>
      </c>
      <c r="G14" s="9" t="s">
        <v>53</v>
      </c>
      <c r="H14" s="9" t="s">
        <v>57</v>
      </c>
      <c r="I14" s="9" t="s">
        <v>26</v>
      </c>
      <c r="J14" s="9" t="n">
        <v>2025</v>
      </c>
      <c r="K14" s="7" t="n">
        <v>791</v>
      </c>
      <c r="L14" s="10" t="n">
        <v>4.9</v>
      </c>
      <c r="M14" s="11" t="s">
        <v>27</v>
      </c>
      <c r="N14" s="6" t="s">
        <v>58</v>
      </c>
      <c r="O14" s="12"/>
      <c r="P14" s="9" t="str">
        <f aca="false">IF(COUNTIFS($G$5:$G$66,G14,$H$5:$H$66,H14,$I$5:$I$66,I14,$C$5:$C$66,C14)&gt;1,"повтор","")</f>
        <v/>
      </c>
      <c r="Q14" s="9" t="str">
        <f aca="false">IF(C14&lt;&gt;"1:24","",IF(D14="","проверить",IF(D14&lt;=Параметры!$B$12,"ок","дороже лимита")))</f>
        <v/>
      </c>
      <c r="R14" s="13"/>
    </row>
    <row r="15" customFormat="false" ht="15" hidden="false" customHeight="false" outlineLevel="0" collapsed="false">
      <c r="A15" s="4" t="s">
        <v>21</v>
      </c>
      <c r="B15" s="5" t="s">
        <v>59</v>
      </c>
      <c r="C15" s="6" t="s">
        <v>23</v>
      </c>
      <c r="D15" s="7" t="n">
        <v>879</v>
      </c>
      <c r="E15" s="8" t="n">
        <f aca="false">IF(D15="","",IF(D15&lt;Параметры!$B$4,CEILING(D15*Параметры!$B$5,100)-10,IF(D15&lt;=Параметры!$B$6,CEILING(D15*Параметры!$B$7,100)-10,CEILING(D15*Параметры!$B$8,100)-10)))</f>
        <v>1790</v>
      </c>
      <c r="F15" s="8" t="n">
        <f aca="false">IF(D15="","",ROUND(E15*(1-Параметры!$B$9-Параметры!$B$10-Параметры!$B$11)-D15,0))</f>
        <v>651</v>
      </c>
      <c r="G15" s="9" t="s">
        <v>60</v>
      </c>
      <c r="H15" s="9" t="s">
        <v>61</v>
      </c>
      <c r="I15" s="9" t="s">
        <v>26</v>
      </c>
      <c r="J15" s="9" t="n">
        <v>2025</v>
      </c>
      <c r="K15" s="7" t="n">
        <v>791</v>
      </c>
      <c r="L15" s="10" t="n">
        <v>4.9</v>
      </c>
      <c r="M15" s="11" t="s">
        <v>27</v>
      </c>
      <c r="N15" s="6" t="s">
        <v>62</v>
      </c>
      <c r="O15" s="12"/>
      <c r="P15" s="9" t="str">
        <f aca="false">IF(COUNTIFS($G$5:$G$66,G15,$H$5:$H$66,H15,$I$5:$I$66,I15,$C$5:$C$66,C15)&gt;1,"повтор","")</f>
        <v/>
      </c>
      <c r="Q15" s="9" t="str">
        <f aca="false">IF(C15&lt;&gt;"1:24","",IF(D15="","проверить",IF(D15&lt;=Параметры!$B$12,"ок","дороже лимита")))</f>
        <v/>
      </c>
      <c r="R15" s="13"/>
    </row>
    <row r="16" customFormat="false" ht="15" hidden="false" customHeight="false" outlineLevel="0" collapsed="false">
      <c r="A16" s="4" t="s">
        <v>21</v>
      </c>
      <c r="B16" s="5" t="s">
        <v>63</v>
      </c>
      <c r="C16" s="6" t="s">
        <v>23</v>
      </c>
      <c r="D16" s="7" t="n">
        <v>879</v>
      </c>
      <c r="E16" s="8" t="n">
        <f aca="false">IF(D16="","",IF(D16&lt;Параметры!$B$4,CEILING(D16*Параметры!$B$5,100)-10,IF(D16&lt;=Параметры!$B$6,CEILING(D16*Параметры!$B$7,100)-10,CEILING(D16*Параметры!$B$8,100)-10)))</f>
        <v>1790</v>
      </c>
      <c r="F16" s="8" t="n">
        <f aca="false">IF(D16="","",ROUND(E16*(1-Параметры!$B$9-Параметры!$B$10-Параметры!$B$11)-D16,0))</f>
        <v>651</v>
      </c>
      <c r="G16" s="9" t="s">
        <v>60</v>
      </c>
      <c r="H16" s="9" t="s">
        <v>64</v>
      </c>
      <c r="I16" s="9" t="s">
        <v>26</v>
      </c>
      <c r="J16" s="9" t="n">
        <v>2025</v>
      </c>
      <c r="K16" s="7" t="n">
        <v>791</v>
      </c>
      <c r="L16" s="10" t="n">
        <v>4.9</v>
      </c>
      <c r="M16" s="11" t="s">
        <v>27</v>
      </c>
      <c r="N16" s="6" t="s">
        <v>65</v>
      </c>
      <c r="O16" s="12"/>
      <c r="P16" s="9" t="str">
        <f aca="false">IF(COUNTIFS($G$5:$G$66,G16,$H$5:$H$66,H16,$I$5:$I$66,I16,$C$5:$C$66,C16)&gt;1,"повтор","")</f>
        <v/>
      </c>
      <c r="Q16" s="9" t="str">
        <f aca="false">IF(C16&lt;&gt;"1:24","",IF(D16="","проверить",IF(D16&lt;=Параметры!$B$12,"ок","дороже лимита")))</f>
        <v/>
      </c>
      <c r="R16" s="13"/>
    </row>
    <row r="17" customFormat="false" ht="15" hidden="false" customHeight="false" outlineLevel="0" collapsed="false">
      <c r="A17" s="4" t="s">
        <v>21</v>
      </c>
      <c r="B17" s="5" t="s">
        <v>66</v>
      </c>
      <c r="C17" s="6" t="s">
        <v>23</v>
      </c>
      <c r="D17" s="7" t="n">
        <v>879</v>
      </c>
      <c r="E17" s="8" t="n">
        <f aca="false">IF(D17="","",IF(D17&lt;Параметры!$B$4,CEILING(D17*Параметры!$B$5,100)-10,IF(D17&lt;=Параметры!$B$6,CEILING(D17*Параметры!$B$7,100)-10,CEILING(D17*Параметры!$B$8,100)-10)))</f>
        <v>1790</v>
      </c>
      <c r="F17" s="8" t="n">
        <f aca="false">IF(D17="","",ROUND(E17*(1-Параметры!$B$9-Параметры!$B$10-Параметры!$B$11)-D17,0))</f>
        <v>651</v>
      </c>
      <c r="G17" s="9" t="s">
        <v>67</v>
      </c>
      <c r="H17" s="9" t="s">
        <v>68</v>
      </c>
      <c r="I17" s="9" t="s">
        <v>26</v>
      </c>
      <c r="J17" s="9" t="n">
        <v>2025</v>
      </c>
      <c r="K17" s="7" t="n">
        <v>791</v>
      </c>
      <c r="L17" s="10" t="n">
        <v>4.9</v>
      </c>
      <c r="M17" s="11" t="s">
        <v>27</v>
      </c>
      <c r="N17" s="6" t="s">
        <v>69</v>
      </c>
      <c r="O17" s="12"/>
      <c r="P17" s="9" t="str">
        <f aca="false">IF(COUNTIFS($G$5:$G$66,G17,$H$5:$H$66,H17,$I$5:$I$66,I17,$C$5:$C$66,C17)&gt;1,"повтор","")</f>
        <v/>
      </c>
      <c r="Q17" s="9" t="str">
        <f aca="false">IF(C17&lt;&gt;"1:24","",IF(D17="","проверить",IF(D17&lt;=Параметры!$B$12,"ок","дороже лимита")))</f>
        <v/>
      </c>
      <c r="R17" s="13"/>
    </row>
    <row r="18" customFormat="false" ht="15" hidden="false" customHeight="false" outlineLevel="0" collapsed="false">
      <c r="A18" s="4" t="s">
        <v>21</v>
      </c>
      <c r="B18" s="5" t="s">
        <v>70</v>
      </c>
      <c r="C18" s="6" t="s">
        <v>23</v>
      </c>
      <c r="D18" s="7" t="n">
        <v>879</v>
      </c>
      <c r="E18" s="8" t="n">
        <f aca="false">IF(D18="","",IF(D18&lt;Параметры!$B$4,CEILING(D18*Параметры!$B$5,100)-10,IF(D18&lt;=Параметры!$B$6,CEILING(D18*Параметры!$B$7,100)-10,CEILING(D18*Параметры!$B$8,100)-10)))</f>
        <v>1790</v>
      </c>
      <c r="F18" s="8" t="n">
        <f aca="false">IF(D18="","",ROUND(E18*(1-Параметры!$B$9-Параметры!$B$10-Параметры!$B$11)-D18,0))</f>
        <v>651</v>
      </c>
      <c r="G18" s="9" t="s">
        <v>67</v>
      </c>
      <c r="H18" s="9" t="s">
        <v>71</v>
      </c>
      <c r="I18" s="9" t="s">
        <v>26</v>
      </c>
      <c r="J18" s="9" t="n">
        <v>2025</v>
      </c>
      <c r="K18" s="7" t="n">
        <v>791</v>
      </c>
      <c r="L18" s="10" t="n">
        <v>4.9</v>
      </c>
      <c r="M18" s="11" t="s">
        <v>27</v>
      </c>
      <c r="N18" s="6" t="s">
        <v>72</v>
      </c>
      <c r="O18" s="12"/>
      <c r="P18" s="9" t="str">
        <f aca="false">IF(COUNTIFS($G$5:$G$66,G18,$H$5:$H$66,H18,$I$5:$I$66,I18,$C$5:$C$66,C18)&gt;1,"повтор","")</f>
        <v/>
      </c>
      <c r="Q18" s="9" t="str">
        <f aca="false">IF(C18&lt;&gt;"1:24","",IF(D18="","проверить",IF(D18&lt;=Параметры!$B$12,"ок","дороже лимита")))</f>
        <v/>
      </c>
      <c r="R18" s="13"/>
    </row>
    <row r="19" customFormat="false" ht="15" hidden="false" customHeight="false" outlineLevel="0" collapsed="false">
      <c r="A19" s="4" t="s">
        <v>21</v>
      </c>
      <c r="B19" s="5" t="s">
        <v>73</v>
      </c>
      <c r="C19" s="6" t="s">
        <v>23</v>
      </c>
      <c r="D19" s="7" t="n">
        <v>879</v>
      </c>
      <c r="E19" s="8" t="n">
        <f aca="false">IF(D19="","",IF(D19&lt;Параметры!$B$4,CEILING(D19*Параметры!$B$5,100)-10,IF(D19&lt;=Параметры!$B$6,CEILING(D19*Параметры!$B$7,100)-10,CEILING(D19*Параметры!$B$8,100)-10)))</f>
        <v>1790</v>
      </c>
      <c r="F19" s="8" t="n">
        <f aca="false">IF(D19="","",ROUND(E19*(1-Параметры!$B$9-Параметры!$B$10-Параметры!$B$11)-D19,0))</f>
        <v>651</v>
      </c>
      <c r="G19" s="9" t="s">
        <v>74</v>
      </c>
      <c r="H19" s="9" t="s">
        <v>75</v>
      </c>
      <c r="I19" s="9" t="s">
        <v>76</v>
      </c>
      <c r="J19" s="9" t="n">
        <v>2025</v>
      </c>
      <c r="K19" s="7" t="n">
        <v>791</v>
      </c>
      <c r="L19" s="10" t="n">
        <v>4.9</v>
      </c>
      <c r="M19" s="11" t="s">
        <v>27</v>
      </c>
      <c r="N19" s="6" t="s">
        <v>77</v>
      </c>
      <c r="O19" s="12"/>
      <c r="P19" s="9" t="str">
        <f aca="false">IF(COUNTIFS($G$5:$G$66,G19,$H$5:$H$66,H19,$I$5:$I$66,I19,$C$5:$C$66,C19)&gt;1,"повтор","")</f>
        <v/>
      </c>
      <c r="Q19" s="9" t="str">
        <f aca="false">IF(C19&lt;&gt;"1:24","",IF(D19="","проверить",IF(D19&lt;=Параметры!$B$12,"ок","дороже лимита")))</f>
        <v/>
      </c>
      <c r="R19" s="13" t="s">
        <v>78</v>
      </c>
    </row>
    <row r="20" customFormat="false" ht="15" hidden="false" customHeight="false" outlineLevel="0" collapsed="false">
      <c r="A20" s="4" t="s">
        <v>21</v>
      </c>
      <c r="B20" s="5" t="s">
        <v>79</v>
      </c>
      <c r="C20" s="6" t="s">
        <v>23</v>
      </c>
      <c r="D20" s="7" t="n">
        <v>879</v>
      </c>
      <c r="E20" s="8" t="n">
        <f aca="false">IF(D20="","",IF(D20&lt;Параметры!$B$4,CEILING(D20*Параметры!$B$5,100)-10,IF(D20&lt;=Параметры!$B$6,CEILING(D20*Параметры!$B$7,100)-10,CEILING(D20*Параметры!$B$8,100)-10)))</f>
        <v>1790</v>
      </c>
      <c r="F20" s="8" t="n">
        <f aca="false">IF(D20="","",ROUND(E20*(1-Параметры!$B$9-Параметры!$B$10-Параметры!$B$11)-D20,0))</f>
        <v>651</v>
      </c>
      <c r="G20" s="9" t="s">
        <v>74</v>
      </c>
      <c r="H20" s="9" t="s">
        <v>80</v>
      </c>
      <c r="I20" s="9" t="s">
        <v>76</v>
      </c>
      <c r="J20" s="9" t="n">
        <v>2025</v>
      </c>
      <c r="K20" s="7" t="n">
        <v>791</v>
      </c>
      <c r="L20" s="10" t="n">
        <v>4.9</v>
      </c>
      <c r="M20" s="11" t="s">
        <v>27</v>
      </c>
      <c r="N20" s="6" t="s">
        <v>81</v>
      </c>
      <c r="O20" s="12"/>
      <c r="P20" s="9" t="str">
        <f aca="false">IF(COUNTIFS($G$5:$G$66,G20,$H$5:$H$66,H20,$I$5:$I$66,I20,$C$5:$C$66,C20)&gt;1,"повтор","")</f>
        <v/>
      </c>
      <c r="Q20" s="9" t="str">
        <f aca="false">IF(C20&lt;&gt;"1:24","",IF(D20="","проверить",IF(D20&lt;=Параметры!$B$12,"ок","дороже лимита")))</f>
        <v/>
      </c>
      <c r="R20" s="13" t="s">
        <v>78</v>
      </c>
    </row>
    <row r="21" customFormat="false" ht="15" hidden="false" customHeight="false" outlineLevel="0" collapsed="false">
      <c r="A21" s="4" t="s">
        <v>82</v>
      </c>
      <c r="B21" s="5" t="s">
        <v>83</v>
      </c>
      <c r="C21" s="6" t="s">
        <v>23</v>
      </c>
      <c r="D21" s="7" t="n">
        <v>1489</v>
      </c>
      <c r="E21" s="8" t="n">
        <f aca="false">IF(D21="","",IF(D21&lt;Параметры!$B$4,CEILING(D21*Параметры!$B$5,100)-10,IF(D21&lt;=Параметры!$B$6,CEILING(D21*Параметры!$B$7,100)-10,CEILING(D21*Параметры!$B$8,100)-10)))</f>
        <v>2990</v>
      </c>
      <c r="F21" s="8" t="n">
        <f aca="false">IF(D21="","",ROUND(E21*(1-Параметры!$B$9-Параметры!$B$10-Параметры!$B$11)-D21,0))</f>
        <v>1067</v>
      </c>
      <c r="G21" s="9" t="s">
        <v>84</v>
      </c>
      <c r="H21" s="9" t="s">
        <v>41</v>
      </c>
      <c r="I21" s="9" t="s">
        <v>26</v>
      </c>
      <c r="J21" s="9" t="n">
        <v>2026</v>
      </c>
      <c r="K21" s="7" t="n">
        <v>45</v>
      </c>
      <c r="L21" s="10"/>
      <c r="M21" s="11" t="s">
        <v>27</v>
      </c>
      <c r="N21" s="6" t="s">
        <v>85</v>
      </c>
      <c r="O21" s="12"/>
      <c r="P21" s="9" t="str">
        <f aca="false">IF(COUNTIFS($G$5:$G$66,G21,$H$5:$H$66,H21,$I$5:$I$66,I21,$C$5:$C$66,C21)&gt;1,"повтор","")</f>
        <v/>
      </c>
      <c r="Q21" s="9" t="str">
        <f aca="false">IF(C21&lt;&gt;"1:24","",IF(D21="","проверить",IF(D21&lt;=Параметры!$B$12,"ок","дороже лимита")))</f>
        <v/>
      </c>
      <c r="R21" s="13" t="s">
        <v>86</v>
      </c>
    </row>
    <row r="22" customFormat="false" ht="15" hidden="false" customHeight="false" outlineLevel="0" collapsed="false">
      <c r="A22" s="4" t="s">
        <v>82</v>
      </c>
      <c r="B22" s="5" t="s">
        <v>87</v>
      </c>
      <c r="C22" s="6" t="s">
        <v>23</v>
      </c>
      <c r="D22" s="7" t="n">
        <v>1489</v>
      </c>
      <c r="E22" s="8" t="n">
        <f aca="false">IF(D22="","",IF(D22&lt;Параметры!$B$4,CEILING(D22*Параметры!$B$5,100)-10,IF(D22&lt;=Параметры!$B$6,CEILING(D22*Параметры!$B$7,100)-10,CEILING(D22*Параметры!$B$8,100)-10)))</f>
        <v>2990</v>
      </c>
      <c r="F22" s="8" t="n">
        <f aca="false">IF(D22="","",ROUND(E22*(1-Параметры!$B$9-Параметры!$B$10-Параметры!$B$11)-D22,0))</f>
        <v>1067</v>
      </c>
      <c r="G22" s="9" t="s">
        <v>84</v>
      </c>
      <c r="H22" s="9" t="s">
        <v>48</v>
      </c>
      <c r="I22" s="9" t="s">
        <v>26</v>
      </c>
      <c r="J22" s="9" t="n">
        <v>2026</v>
      </c>
      <c r="K22" s="7" t="n">
        <v>45</v>
      </c>
      <c r="L22" s="10"/>
      <c r="M22" s="11" t="s">
        <v>27</v>
      </c>
      <c r="N22" s="6" t="s">
        <v>88</v>
      </c>
      <c r="O22" s="12"/>
      <c r="P22" s="9" t="str">
        <f aca="false">IF(COUNTIFS($G$5:$G$66,G22,$H$5:$H$66,H22,$I$5:$I$66,I22,$C$5:$C$66,C22)&gt;1,"повтор","")</f>
        <v/>
      </c>
      <c r="Q22" s="9" t="str">
        <f aca="false">IF(C22&lt;&gt;"1:24","",IF(D22="","проверить",IF(D22&lt;=Параметры!$B$12,"ок","дороже лимита")))</f>
        <v/>
      </c>
      <c r="R22" s="13" t="s">
        <v>86</v>
      </c>
    </row>
    <row r="23" customFormat="false" ht="15" hidden="false" customHeight="false" outlineLevel="0" collapsed="false">
      <c r="A23" s="4" t="s">
        <v>82</v>
      </c>
      <c r="B23" s="5" t="s">
        <v>89</v>
      </c>
      <c r="C23" s="6" t="s">
        <v>23</v>
      </c>
      <c r="D23" s="7" t="n">
        <v>1489</v>
      </c>
      <c r="E23" s="8" t="n">
        <f aca="false">IF(D23="","",IF(D23&lt;Параметры!$B$4,CEILING(D23*Параметры!$B$5,100)-10,IF(D23&lt;=Параметры!$B$6,CEILING(D23*Параметры!$B$7,100)-10,CEILING(D23*Параметры!$B$8,100)-10)))</f>
        <v>2990</v>
      </c>
      <c r="F23" s="8" t="n">
        <f aca="false">IF(D23="","",ROUND(E23*(1-Параметры!$B$9-Параметры!$B$10-Параметры!$B$11)-D23,0))</f>
        <v>1067</v>
      </c>
      <c r="G23" s="9" t="s">
        <v>90</v>
      </c>
      <c r="H23" s="9" t="s">
        <v>54</v>
      </c>
      <c r="I23" s="9" t="s">
        <v>26</v>
      </c>
      <c r="J23" s="9" t="n">
        <v>2026</v>
      </c>
      <c r="K23" s="7" t="n">
        <v>31</v>
      </c>
      <c r="L23" s="10"/>
      <c r="M23" s="11" t="s">
        <v>27</v>
      </c>
      <c r="N23" s="6" t="s">
        <v>91</v>
      </c>
      <c r="O23" s="12"/>
      <c r="P23" s="9" t="str">
        <f aca="false">IF(COUNTIFS($G$5:$G$66,G23,$H$5:$H$66,H23,$I$5:$I$66,I23,$C$5:$C$66,C23)&gt;1,"повтор","")</f>
        <v/>
      </c>
      <c r="Q23" s="9" t="str">
        <f aca="false">IF(C23&lt;&gt;"1:24","",IF(D23="","проверить",IF(D23&lt;=Параметры!$B$12,"ок","дороже лимита")))</f>
        <v/>
      </c>
      <c r="R23" s="13" t="s">
        <v>86</v>
      </c>
    </row>
    <row r="24" customFormat="false" ht="15" hidden="false" customHeight="false" outlineLevel="0" collapsed="false">
      <c r="A24" s="4" t="s">
        <v>82</v>
      </c>
      <c r="B24" s="5" t="s">
        <v>92</v>
      </c>
      <c r="C24" s="6" t="s">
        <v>23</v>
      </c>
      <c r="D24" s="7" t="n">
        <v>1489</v>
      </c>
      <c r="E24" s="8" t="n">
        <f aca="false">IF(D24="","",IF(D24&lt;Параметры!$B$4,CEILING(D24*Параметры!$B$5,100)-10,IF(D24&lt;=Параметры!$B$6,CEILING(D24*Параметры!$B$7,100)-10,CEILING(D24*Параметры!$B$8,100)-10)))</f>
        <v>2990</v>
      </c>
      <c r="F24" s="8" t="n">
        <f aca="false">IF(D24="","",ROUND(E24*(1-Параметры!$B$9-Параметры!$B$10-Параметры!$B$11)-D24,0))</f>
        <v>1067</v>
      </c>
      <c r="G24" s="9" t="s">
        <v>90</v>
      </c>
      <c r="H24" s="9" t="s">
        <v>57</v>
      </c>
      <c r="I24" s="9" t="s">
        <v>26</v>
      </c>
      <c r="J24" s="9" t="n">
        <v>2026</v>
      </c>
      <c r="K24" s="7" t="n">
        <v>31</v>
      </c>
      <c r="L24" s="10"/>
      <c r="M24" s="11" t="s">
        <v>27</v>
      </c>
      <c r="N24" s="6" t="s">
        <v>93</v>
      </c>
      <c r="O24" s="12"/>
      <c r="P24" s="9" t="str">
        <f aca="false">IF(COUNTIFS($G$5:$G$66,G24,$H$5:$H$66,H24,$I$5:$I$66,I24,$C$5:$C$66,C24)&gt;1,"повтор","")</f>
        <v/>
      </c>
      <c r="Q24" s="9" t="str">
        <f aca="false">IF(C24&lt;&gt;"1:24","",IF(D24="","проверить",IF(D24&lt;=Параметры!$B$12,"ок","дороже лимита")))</f>
        <v/>
      </c>
      <c r="R24" s="13" t="s">
        <v>86</v>
      </c>
    </row>
    <row r="25" customFormat="false" ht="15" hidden="false" customHeight="false" outlineLevel="0" collapsed="false">
      <c r="A25" s="4" t="s">
        <v>94</v>
      </c>
      <c r="B25" s="5" t="s">
        <v>95</v>
      </c>
      <c r="C25" s="6" t="s">
        <v>96</v>
      </c>
      <c r="D25" s="7" t="n">
        <v>2682</v>
      </c>
      <c r="E25" s="8" t="n">
        <f aca="false">IF(D25="","",IF(D25&lt;Параметры!$B$4,CEILING(D25*Параметры!$B$5,100)-10,IF(D25&lt;=Параметры!$B$6,CEILING(D25*Параметры!$B$7,100)-10,CEILING(D25*Параметры!$B$8,100)-10)))</f>
        <v>4290</v>
      </c>
      <c r="F25" s="8" t="n">
        <f aca="false">IF(D25="","",ROUND(E25*(1-Параметры!$B$9-Параметры!$B$10-Параметры!$B$11)-D25,0))</f>
        <v>986</v>
      </c>
      <c r="G25" s="9" t="s">
        <v>97</v>
      </c>
      <c r="H25" s="9" t="s">
        <v>35</v>
      </c>
      <c r="I25" s="9" t="s">
        <v>98</v>
      </c>
      <c r="J25" s="9" t="n">
        <v>2023</v>
      </c>
      <c r="K25" s="7" t="n">
        <v>653</v>
      </c>
      <c r="L25" s="10" t="n">
        <v>4.9</v>
      </c>
      <c r="M25" s="11" t="s">
        <v>27</v>
      </c>
      <c r="N25" s="6" t="s">
        <v>99</v>
      </c>
      <c r="O25" s="12"/>
      <c r="P25" s="9" t="str">
        <f aca="false">IF(COUNTIFS($G$5:$G$66,G25,$H$5:$H$66,H25,$I$5:$I$66,I25,$C$5:$C$66,C25)&gt;1,"повтор","")</f>
        <v/>
      </c>
      <c r="Q25" s="9" t="str">
        <f aca="false">IF(C25&lt;&gt;"1:24","",IF(D25="","проверить",IF(D25&lt;=Параметры!$B$12,"ок","дороже лимита")))</f>
        <v>ок</v>
      </c>
      <c r="R25" s="13" t="s">
        <v>100</v>
      </c>
    </row>
    <row r="26" customFormat="false" ht="15" hidden="false" customHeight="false" outlineLevel="0" collapsed="false">
      <c r="A26" s="4" t="s">
        <v>94</v>
      </c>
      <c r="B26" s="5" t="s">
        <v>101</v>
      </c>
      <c r="C26" s="6" t="s">
        <v>96</v>
      </c>
      <c r="D26" s="7" t="n">
        <v>2312</v>
      </c>
      <c r="E26" s="8" t="n">
        <f aca="false">IF(D26="","",IF(D26&lt;Параметры!$B$4,CEILING(D26*Параметры!$B$5,100)-10,IF(D26&lt;=Параметры!$B$6,CEILING(D26*Параметры!$B$7,100)-10,CEILING(D26*Параметры!$B$8,100)-10)))</f>
        <v>3690</v>
      </c>
      <c r="F26" s="8" t="n">
        <f aca="false">IF(D26="","",ROUND(E26*(1-Параметры!$B$9-Параметры!$B$10-Параметры!$B$11)-D26,0))</f>
        <v>843</v>
      </c>
      <c r="G26" s="9" t="s">
        <v>102</v>
      </c>
      <c r="H26" s="9" t="s">
        <v>103</v>
      </c>
      <c r="I26" s="9" t="s">
        <v>26</v>
      </c>
      <c r="J26" s="9" t="n">
        <v>2024</v>
      </c>
      <c r="K26" s="7" t="n">
        <v>651</v>
      </c>
      <c r="L26" s="10" t="n">
        <v>4.9</v>
      </c>
      <c r="M26" s="11" t="s">
        <v>27</v>
      </c>
      <c r="N26" s="6" t="s">
        <v>104</v>
      </c>
      <c r="O26" s="12" t="s">
        <v>105</v>
      </c>
      <c r="P26" s="9" t="str">
        <f aca="false">IF(COUNTIFS($G$5:$G$66,G26,$H$5:$H$66,H26,$I$5:$I$66,I26,$C$5:$C$66,C26)&gt;1,"повтор","")</f>
        <v/>
      </c>
      <c r="Q26" s="9" t="str">
        <f aca="false">IF(C26&lt;&gt;"1:24","",IF(D26="","проверить",IF(D26&lt;=Параметры!$B$12,"ок","дороже лимита")))</f>
        <v>ок</v>
      </c>
      <c r="R26" s="13"/>
    </row>
    <row r="27" customFormat="false" ht="15" hidden="false" customHeight="false" outlineLevel="0" collapsed="false">
      <c r="A27" s="4" t="s">
        <v>94</v>
      </c>
      <c r="B27" s="5" t="s">
        <v>106</v>
      </c>
      <c r="C27" s="6" t="s">
        <v>96</v>
      </c>
      <c r="D27" s="7" t="n">
        <v>2409</v>
      </c>
      <c r="E27" s="8" t="n">
        <f aca="false">IF(D27="","",IF(D27&lt;Параметры!$B$4,CEILING(D27*Параметры!$B$5,100)-10,IF(D27&lt;=Параметры!$B$6,CEILING(D27*Параметры!$B$7,100)-10,CEILING(D27*Параметры!$B$8,100)-10)))</f>
        <v>3890</v>
      </c>
      <c r="F27" s="8" t="n">
        <f aca="false">IF(D27="","",ROUND(E27*(1-Параметры!$B$9-Параметры!$B$10-Параметры!$B$11)-D27,0))</f>
        <v>917</v>
      </c>
      <c r="G27" s="9" t="s">
        <v>102</v>
      </c>
      <c r="H27" s="9" t="s">
        <v>35</v>
      </c>
      <c r="I27" s="9" t="s">
        <v>26</v>
      </c>
      <c r="J27" s="9" t="n">
        <v>2024</v>
      </c>
      <c r="K27" s="7" t="n">
        <v>78</v>
      </c>
      <c r="L27" s="10" t="n">
        <v>4.9</v>
      </c>
      <c r="M27" s="11" t="s">
        <v>27</v>
      </c>
      <c r="N27" s="6" t="s">
        <v>107</v>
      </c>
      <c r="O27" s="12" t="s">
        <v>108</v>
      </c>
      <c r="P27" s="9" t="str">
        <f aca="false">IF(COUNTIFS($G$5:$G$66,G27,$H$5:$H$66,H27,$I$5:$I$66,I27,$C$5:$C$66,C27)&gt;1,"повтор","")</f>
        <v/>
      </c>
      <c r="Q27" s="9" t="str">
        <f aca="false">IF(C27&lt;&gt;"1:24","",IF(D27="","проверить",IF(D27&lt;=Параметры!$B$12,"ок","дороже лимита")))</f>
        <v>ок</v>
      </c>
      <c r="R27" s="13"/>
    </row>
    <row r="28" customFormat="false" ht="15" hidden="false" customHeight="false" outlineLevel="0" collapsed="false">
      <c r="A28" s="4" t="s">
        <v>94</v>
      </c>
      <c r="B28" s="5" t="s">
        <v>109</v>
      </c>
      <c r="C28" s="6" t="s">
        <v>96</v>
      </c>
      <c r="D28" s="7" t="n">
        <v>2421</v>
      </c>
      <c r="E28" s="8" t="n">
        <f aca="false">IF(D28="","",IF(D28&lt;Параметры!$B$4,CEILING(D28*Параметры!$B$5,100)-10,IF(D28&lt;=Параметры!$B$6,CEILING(D28*Параметры!$B$7,100)-10,CEILING(D28*Параметры!$B$8,100)-10)))</f>
        <v>3890</v>
      </c>
      <c r="F28" s="8" t="n">
        <f aca="false">IF(D28="","",ROUND(E28*(1-Параметры!$B$9-Параметры!$B$10-Параметры!$B$11)-D28,0))</f>
        <v>905</v>
      </c>
      <c r="G28" s="9" t="s">
        <v>110</v>
      </c>
      <c r="H28" s="9" t="s">
        <v>48</v>
      </c>
      <c r="I28" s="9" t="s">
        <v>26</v>
      </c>
      <c r="J28" s="9" t="n">
        <v>2024</v>
      </c>
      <c r="K28" s="7" t="n">
        <v>78</v>
      </c>
      <c r="L28" s="10" t="n">
        <v>4.9</v>
      </c>
      <c r="M28" s="11" t="s">
        <v>27</v>
      </c>
      <c r="N28" s="6" t="s">
        <v>111</v>
      </c>
      <c r="O28" s="12" t="s">
        <v>112</v>
      </c>
      <c r="P28" s="9" t="str">
        <f aca="false">IF(COUNTIFS($G$5:$G$66,G28,$H$5:$H$66,H28,$I$5:$I$66,I28,$C$5:$C$66,C28)&gt;1,"повтор","")</f>
        <v/>
      </c>
      <c r="Q28" s="9" t="str">
        <f aca="false">IF(C28&lt;&gt;"1:24","",IF(D28="","проверить",IF(D28&lt;=Параметры!$B$12,"ок","дороже лимита")))</f>
        <v>ок</v>
      </c>
      <c r="R28" s="13"/>
    </row>
    <row r="29" customFormat="false" ht="15" hidden="false" customHeight="false" outlineLevel="0" collapsed="false">
      <c r="A29" s="4" t="s">
        <v>94</v>
      </c>
      <c r="B29" s="5" t="s">
        <v>113</v>
      </c>
      <c r="C29" s="6" t="s">
        <v>96</v>
      </c>
      <c r="D29" s="7" t="n">
        <v>2679</v>
      </c>
      <c r="E29" s="8" t="n">
        <f aca="false">IF(D29="","",IF(D29&lt;Параметры!$B$4,CEILING(D29*Параметры!$B$5,100)-10,IF(D29&lt;=Параметры!$B$6,CEILING(D29*Параметры!$B$7,100)-10,CEILING(D29*Параметры!$B$8,100)-10)))</f>
        <v>4290</v>
      </c>
      <c r="F29" s="8" t="n">
        <f aca="false">IF(D29="","",ROUND(E29*(1-Параметры!$B$9-Параметры!$B$10-Параметры!$B$11)-D29,0))</f>
        <v>989</v>
      </c>
      <c r="G29" s="9" t="s">
        <v>110</v>
      </c>
      <c r="H29" s="9" t="s">
        <v>48</v>
      </c>
      <c r="I29" s="9" t="s">
        <v>114</v>
      </c>
      <c r="J29" s="9" t="n">
        <v>2024</v>
      </c>
      <c r="K29" s="7" t="n">
        <v>653</v>
      </c>
      <c r="L29" s="10" t="n">
        <v>4.9</v>
      </c>
      <c r="M29" s="11" t="s">
        <v>27</v>
      </c>
      <c r="N29" s="6" t="s">
        <v>115</v>
      </c>
      <c r="O29" s="12"/>
      <c r="P29" s="9" t="str">
        <f aca="false">IF(COUNTIFS($G$5:$G$66,G29,$H$5:$H$66,H29,$I$5:$I$66,I29,$C$5:$C$66,C29)&gt;1,"повтор","")</f>
        <v/>
      </c>
      <c r="Q29" s="9" t="str">
        <f aca="false">IF(C29&lt;&gt;"1:24","",IF(D29="","проверить",IF(D29&lt;=Параметры!$B$12,"ок","дороже лимита")))</f>
        <v>ок</v>
      </c>
      <c r="R29" s="13" t="s">
        <v>116</v>
      </c>
    </row>
    <row r="30" customFormat="false" ht="15" hidden="false" customHeight="false" outlineLevel="0" collapsed="false">
      <c r="A30" s="4" t="s">
        <v>94</v>
      </c>
      <c r="B30" s="5" t="s">
        <v>117</v>
      </c>
      <c r="C30" s="6" t="s">
        <v>96</v>
      </c>
      <c r="D30" s="7" t="n">
        <v>2439</v>
      </c>
      <c r="E30" s="8" t="n">
        <f aca="false">IF(D30="","",IF(D30&lt;Параметры!$B$4,CEILING(D30*Параметры!$B$5,100)-10,IF(D30&lt;=Параметры!$B$6,CEILING(D30*Параметры!$B$7,100)-10,CEILING(D30*Параметры!$B$8,100)-10)))</f>
        <v>3990</v>
      </c>
      <c r="F30" s="8" t="n">
        <f aca="false">IF(D30="","",ROUND(E30*(1-Параметры!$B$9-Параметры!$B$10-Параметры!$B$11)-D30,0))</f>
        <v>972</v>
      </c>
      <c r="G30" s="9" t="s">
        <v>110</v>
      </c>
      <c r="H30" s="9" t="s">
        <v>118</v>
      </c>
      <c r="I30" s="9" t="s">
        <v>26</v>
      </c>
      <c r="J30" s="9" t="n">
        <v>2024</v>
      </c>
      <c r="K30" s="7" t="n">
        <v>78</v>
      </c>
      <c r="L30" s="10" t="n">
        <v>4.9</v>
      </c>
      <c r="M30" s="11" t="s">
        <v>27</v>
      </c>
      <c r="N30" s="6" t="s">
        <v>119</v>
      </c>
      <c r="O30" s="12"/>
      <c r="P30" s="9" t="str">
        <f aca="false">IF(COUNTIFS($G$5:$G$66,G30,$H$5:$H$66,H30,$I$5:$I$66,I30,$C$5:$C$66,C30)&gt;1,"повтор","")</f>
        <v/>
      </c>
      <c r="Q30" s="9" t="str">
        <f aca="false">IF(C30&lt;&gt;"1:24","",IF(D30="","проверить",IF(D30&lt;=Параметры!$B$12,"ок","дороже лимита")))</f>
        <v>ок</v>
      </c>
      <c r="R30" s="13"/>
    </row>
    <row r="31" customFormat="false" ht="15" hidden="false" customHeight="false" outlineLevel="0" collapsed="false">
      <c r="A31" s="4" t="s">
        <v>94</v>
      </c>
      <c r="B31" s="5" t="s">
        <v>120</v>
      </c>
      <c r="C31" s="6" t="s">
        <v>96</v>
      </c>
      <c r="D31" s="7" t="n">
        <v>2509</v>
      </c>
      <c r="E31" s="8" t="n">
        <f aca="false">IF(D31="","",IF(D31&lt;Параметры!$B$4,CEILING(D31*Параметры!$B$5,100)-10,IF(D31&lt;=Параметры!$B$6,CEILING(D31*Параметры!$B$7,100)-10,CEILING(D31*Параметры!$B$8,100)-10)))</f>
        <v>4090</v>
      </c>
      <c r="F31" s="8" t="n">
        <f aca="false">IF(D31="","",ROUND(E31*(1-Параметры!$B$9-Параметры!$B$10-Параметры!$B$11)-D31,0))</f>
        <v>988</v>
      </c>
      <c r="G31" s="9" t="s">
        <v>121</v>
      </c>
      <c r="H31" s="9" t="s">
        <v>41</v>
      </c>
      <c r="I31" s="9" t="s">
        <v>26</v>
      </c>
      <c r="J31" s="9" t="n">
        <v>2024</v>
      </c>
      <c r="K31" s="7" t="n">
        <v>651</v>
      </c>
      <c r="L31" s="10" t="n">
        <v>4.9</v>
      </c>
      <c r="M31" s="11" t="s">
        <v>27</v>
      </c>
      <c r="N31" s="6" t="s">
        <v>122</v>
      </c>
      <c r="O31" s="12" t="s">
        <v>123</v>
      </c>
      <c r="P31" s="9" t="str">
        <f aca="false">IF(COUNTIFS($G$5:$G$66,G31,$H$5:$H$66,H31,$I$5:$I$66,I31,$C$5:$C$66,C31)&gt;1,"повтор","")</f>
        <v/>
      </c>
      <c r="Q31" s="9" t="str">
        <f aca="false">IF(C31&lt;&gt;"1:24","",IF(D31="","проверить",IF(D31&lt;=Параметры!$B$12,"ок","дороже лимита")))</f>
        <v>ок</v>
      </c>
      <c r="R31" s="13"/>
    </row>
    <row r="32" customFormat="false" ht="15" hidden="false" customHeight="false" outlineLevel="0" collapsed="false">
      <c r="A32" s="4" t="s">
        <v>94</v>
      </c>
      <c r="B32" s="5" t="s">
        <v>124</v>
      </c>
      <c r="C32" s="6" t="s">
        <v>96</v>
      </c>
      <c r="D32" s="7" t="n">
        <v>2509</v>
      </c>
      <c r="E32" s="8" t="n">
        <f aca="false">IF(D32="","",IF(D32&lt;Параметры!$B$4,CEILING(D32*Параметры!$B$5,100)-10,IF(D32&lt;=Параметры!$B$6,CEILING(D32*Параметры!$B$7,100)-10,CEILING(D32*Параметры!$B$8,100)-10)))</f>
        <v>4090</v>
      </c>
      <c r="F32" s="8" t="n">
        <f aca="false">IF(D32="","",ROUND(E32*(1-Параметры!$B$9-Параметры!$B$10-Параметры!$B$11)-D32,0))</f>
        <v>988</v>
      </c>
      <c r="G32" s="9" t="s">
        <v>121</v>
      </c>
      <c r="H32" s="9" t="s">
        <v>57</v>
      </c>
      <c r="I32" s="9" t="s">
        <v>26</v>
      </c>
      <c r="J32" s="9" t="n">
        <v>2024</v>
      </c>
      <c r="K32" s="7" t="n">
        <v>651</v>
      </c>
      <c r="L32" s="10" t="n">
        <v>4.9</v>
      </c>
      <c r="M32" s="11" t="s">
        <v>27</v>
      </c>
      <c r="N32" s="6" t="s">
        <v>125</v>
      </c>
      <c r="O32" s="12"/>
      <c r="P32" s="9" t="str">
        <f aca="false">IF(COUNTIFS($G$5:$G$66,G32,$H$5:$H$66,H32,$I$5:$I$66,I32,$C$5:$C$66,C32)&gt;1,"повтор","")</f>
        <v/>
      </c>
      <c r="Q32" s="9" t="str">
        <f aca="false">IF(C32&lt;&gt;"1:24","",IF(D32="","проверить",IF(D32&lt;=Параметры!$B$12,"ок","дороже лимита")))</f>
        <v>ок</v>
      </c>
      <c r="R32" s="13"/>
    </row>
    <row r="33" customFormat="false" ht="22.35" hidden="false" customHeight="false" outlineLevel="0" collapsed="false">
      <c r="A33" s="4" t="s">
        <v>94</v>
      </c>
      <c r="B33" s="5" t="s">
        <v>126</v>
      </c>
      <c r="C33" s="6" t="s">
        <v>96</v>
      </c>
      <c r="D33" s="7" t="n">
        <v>1842</v>
      </c>
      <c r="E33" s="8" t="n">
        <f aca="false">IF(D33="","",IF(D33&lt;Параметры!$B$4,CEILING(D33*Параметры!$B$5,100)-10,IF(D33&lt;=Параметры!$B$6,CEILING(D33*Параметры!$B$7,100)-10,CEILING(D33*Параметры!$B$8,100)-10)))</f>
        <v>2990</v>
      </c>
      <c r="F33" s="8" t="n">
        <f aca="false">IF(D33="","",ROUND(E33*(1-Параметры!$B$9-Параметры!$B$10-Параметры!$B$11)-D33,0))</f>
        <v>714</v>
      </c>
      <c r="G33" s="9" t="s">
        <v>127</v>
      </c>
      <c r="H33" s="9" t="s">
        <v>61</v>
      </c>
      <c r="I33" s="14" t="s">
        <v>26</v>
      </c>
      <c r="J33" s="9" t="n">
        <v>2024</v>
      </c>
      <c r="K33" s="7" t="n">
        <v>150</v>
      </c>
      <c r="L33" s="10" t="n">
        <v>5</v>
      </c>
      <c r="M33" s="11" t="s">
        <v>27</v>
      </c>
      <c r="N33" s="6" t="s">
        <v>128</v>
      </c>
      <c r="O33" s="12" t="s">
        <v>129</v>
      </c>
      <c r="P33" s="9" t="str">
        <f aca="false">IF(COUNTIFS($G$5:$G$66,G33,$H$5:$H$66,H33,$I$5:$I$66,I33,$C$5:$C$66,C33)&gt;1,"повтор","")</f>
        <v/>
      </c>
      <c r="Q33" s="9" t="str">
        <f aca="false">IF(C33&lt;&gt;"1:24","",IF(D33="","проверить",IF(D33&lt;=Параметры!$B$12,"ок","дороже лимита")))</f>
        <v>ок</v>
      </c>
      <c r="R33" s="13" t="s">
        <v>130</v>
      </c>
    </row>
    <row r="34" customFormat="false" ht="15" hidden="false" customHeight="false" outlineLevel="0" collapsed="false">
      <c r="A34" s="4" t="s">
        <v>94</v>
      </c>
      <c r="B34" s="5" t="s">
        <v>131</v>
      </c>
      <c r="C34" s="6" t="s">
        <v>96</v>
      </c>
      <c r="D34" s="7" t="n">
        <v>2549</v>
      </c>
      <c r="E34" s="8" t="n">
        <f aca="false">IF(D34="","",IF(D34&lt;Параметры!$B$4,CEILING(D34*Параметры!$B$5,100)-10,IF(D34&lt;=Параметры!$B$6,CEILING(D34*Параметры!$B$7,100)-10,CEILING(D34*Параметры!$B$8,100)-10)))</f>
        <v>4090</v>
      </c>
      <c r="F34" s="8" t="n">
        <f aca="false">IF(D34="","",ROUND(E34*(1-Параметры!$B$9-Параметры!$B$10-Параметры!$B$11)-D34,0))</f>
        <v>948</v>
      </c>
      <c r="G34" s="9" t="s">
        <v>127</v>
      </c>
      <c r="H34" s="9" t="s">
        <v>64</v>
      </c>
      <c r="I34" s="9" t="s">
        <v>26</v>
      </c>
      <c r="J34" s="9" t="n">
        <v>2024</v>
      </c>
      <c r="K34" s="7" t="n">
        <v>651</v>
      </c>
      <c r="L34" s="10" t="n">
        <v>4.9</v>
      </c>
      <c r="M34" s="11" t="s">
        <v>27</v>
      </c>
      <c r="N34" s="6" t="s">
        <v>132</v>
      </c>
      <c r="O34" s="12"/>
      <c r="P34" s="9" t="str">
        <f aca="false">IF(COUNTIFS($G$5:$G$66,G34,$H$5:$H$66,H34,$I$5:$I$66,I34,$C$5:$C$66,C34)&gt;1,"повтор","")</f>
        <v/>
      </c>
      <c r="Q34" s="9" t="str">
        <f aca="false">IF(C34&lt;&gt;"1:24","",IF(D34="","проверить",IF(D34&lt;=Параметры!$B$12,"ок","дороже лимита")))</f>
        <v>ок</v>
      </c>
      <c r="R34" s="13"/>
    </row>
    <row r="35" customFormat="false" ht="15" hidden="false" customHeight="false" outlineLevel="0" collapsed="false">
      <c r="A35" s="4" t="s">
        <v>94</v>
      </c>
      <c r="B35" s="5" t="s">
        <v>66</v>
      </c>
      <c r="C35" s="6" t="s">
        <v>96</v>
      </c>
      <c r="D35" s="7" t="n">
        <v>2631</v>
      </c>
      <c r="E35" s="8" t="n">
        <f aca="false">IF(D35="","",IF(D35&lt;Параметры!$B$4,CEILING(D35*Параметры!$B$5,100)-10,IF(D35&lt;=Параметры!$B$6,CEILING(D35*Параметры!$B$7,100)-10,CEILING(D35*Параметры!$B$8,100)-10)))</f>
        <v>4290</v>
      </c>
      <c r="F35" s="8" t="n">
        <f aca="false">IF(D35="","",ROUND(E35*(1-Параметры!$B$9-Параметры!$B$10-Параметры!$B$11)-D35,0))</f>
        <v>1037</v>
      </c>
      <c r="G35" s="9" t="s">
        <v>67</v>
      </c>
      <c r="H35" s="9" t="s">
        <v>68</v>
      </c>
      <c r="I35" s="9" t="s">
        <v>26</v>
      </c>
      <c r="J35" s="9" t="n">
        <v>2025</v>
      </c>
      <c r="K35" s="7" t="n">
        <v>78</v>
      </c>
      <c r="L35" s="10" t="n">
        <v>4.9</v>
      </c>
      <c r="M35" s="11" t="s">
        <v>27</v>
      </c>
      <c r="N35" s="6" t="s">
        <v>133</v>
      </c>
      <c r="O35" s="12"/>
      <c r="P35" s="9" t="str">
        <f aca="false">IF(COUNTIFS($G$5:$G$66,G35,$H$5:$H$66,H35,$I$5:$I$66,I35,$C$5:$C$66,C35)&gt;1,"повтор","")</f>
        <v/>
      </c>
      <c r="Q35" s="9" t="str">
        <f aca="false">IF(C35&lt;&gt;"1:24","",IF(D35="","проверить",IF(D35&lt;=Параметры!$B$12,"ок","дороже лимита")))</f>
        <v>ок</v>
      </c>
      <c r="R35" s="13"/>
    </row>
    <row r="36" customFormat="false" ht="15" hidden="false" customHeight="false" outlineLevel="0" collapsed="false">
      <c r="A36" s="4" t="s">
        <v>94</v>
      </c>
      <c r="B36" s="5" t="s">
        <v>70</v>
      </c>
      <c r="C36" s="6" t="s">
        <v>96</v>
      </c>
      <c r="D36" s="7" t="n">
        <v>2401</v>
      </c>
      <c r="E36" s="8" t="n">
        <f aca="false">IF(D36="","",IF(D36&lt;Параметры!$B$4,CEILING(D36*Параметры!$B$5,100)-10,IF(D36&lt;=Параметры!$B$6,CEILING(D36*Параметры!$B$7,100)-10,CEILING(D36*Параметры!$B$8,100)-10)))</f>
        <v>3890</v>
      </c>
      <c r="F36" s="8" t="n">
        <f aca="false">IF(D36="","",ROUND(E36*(1-Параметры!$B$9-Параметры!$B$10-Параметры!$B$11)-D36,0))</f>
        <v>925</v>
      </c>
      <c r="G36" s="9" t="s">
        <v>67</v>
      </c>
      <c r="H36" s="9" t="s">
        <v>71</v>
      </c>
      <c r="I36" s="9" t="s">
        <v>26</v>
      </c>
      <c r="J36" s="9" t="n">
        <v>2025</v>
      </c>
      <c r="K36" s="7" t="n">
        <v>78</v>
      </c>
      <c r="L36" s="10" t="n">
        <v>4.9</v>
      </c>
      <c r="M36" s="11" t="s">
        <v>27</v>
      </c>
      <c r="N36" s="6" t="s">
        <v>134</v>
      </c>
      <c r="O36" s="12" t="s">
        <v>135</v>
      </c>
      <c r="P36" s="9" t="str">
        <f aca="false">IF(COUNTIFS($G$5:$G$66,G36,$H$5:$H$66,H36,$I$5:$I$66,I36,$C$5:$C$66,C36)&gt;1,"повтор","")</f>
        <v/>
      </c>
      <c r="Q36" s="9" t="str">
        <f aca="false">IF(C36&lt;&gt;"1:24","",IF(D36="","проверить",IF(D36&lt;=Параметры!$B$12,"ок","дороже лимита")))</f>
        <v>ок</v>
      </c>
      <c r="R36" s="13"/>
    </row>
    <row r="37" customFormat="false" ht="22.35" hidden="false" customHeight="false" outlineLevel="0" collapsed="false">
      <c r="A37" s="4" t="s">
        <v>136</v>
      </c>
      <c r="B37" s="5" t="s">
        <v>137</v>
      </c>
      <c r="C37" s="6" t="s">
        <v>96</v>
      </c>
      <c r="D37" s="15" t="n">
        <v>4524</v>
      </c>
      <c r="E37" s="8" t="n">
        <f aca="false">IF(D37="","",IF(D37&lt;Параметры!$B$4,CEILING(D37*Параметры!$B$5,100)-10,IF(D37&lt;=Параметры!$B$6,CEILING(D37*Параметры!$B$7,100)-10,CEILING(D37*Параметры!$B$8,100)-10)))</f>
        <v>7290</v>
      </c>
      <c r="F37" s="8" t="n">
        <f aca="false">IF(D37="","",ROUND(E37*(1-Параметры!$B$9-Параметры!$B$10-Параметры!$B$11)-D37,0))</f>
        <v>1709</v>
      </c>
      <c r="G37" s="9" t="s">
        <v>74</v>
      </c>
      <c r="H37" s="9" t="s">
        <v>138</v>
      </c>
      <c r="I37" s="9" t="s">
        <v>139</v>
      </c>
      <c r="J37" s="9" t="n">
        <v>2025</v>
      </c>
      <c r="K37" s="7" t="n">
        <v>268</v>
      </c>
      <c r="L37" s="10" t="n">
        <v>4.9</v>
      </c>
      <c r="M37" s="11" t="s">
        <v>27</v>
      </c>
      <c r="N37" s="16" t="s">
        <v>140</v>
      </c>
      <c r="O37" s="12"/>
      <c r="P37" s="9" t="str">
        <f aca="false">IF(COUNTIFS($G$5:$G$66,G37,$H$5:$H$66,H37,$I$5:$I$66,I37,$C$5:$C$66,C37)&gt;1,"повтор","")</f>
        <v/>
      </c>
      <c r="Q37" s="9" t="str">
        <f aca="false">IF(C37&lt;&gt;"1:24","",IF(D37="","проверить",IF(D37&lt;=Параметры!$B$12,"ок","дороже лимита")))</f>
        <v>дороже лимита</v>
      </c>
      <c r="R37" s="13" t="s">
        <v>141</v>
      </c>
    </row>
    <row r="38" customFormat="false" ht="22.35" hidden="false" customHeight="false" outlineLevel="0" collapsed="false">
      <c r="A38" s="4" t="s">
        <v>136</v>
      </c>
      <c r="B38" s="5" t="s">
        <v>142</v>
      </c>
      <c r="C38" s="6" t="s">
        <v>96</v>
      </c>
      <c r="D38" s="15" t="n">
        <v>6648</v>
      </c>
      <c r="E38" s="8" t="n">
        <f aca="false">IF(D38="","",IF(D38&lt;Параметры!$B$4,CEILING(D38*Параметры!$B$5,100)-10,IF(D38&lt;=Параметры!$B$6,CEILING(D38*Параметры!$B$7,100)-10,CEILING(D38*Параметры!$B$8,100)-10)))</f>
        <v>10690</v>
      </c>
      <c r="F38" s="8" t="n">
        <f aca="false">IF(D38="","",ROUND(E38*(1-Параметры!$B$9-Параметры!$B$10-Параметры!$B$11)-D38,0))</f>
        <v>2492</v>
      </c>
      <c r="G38" s="9" t="s">
        <v>143</v>
      </c>
      <c r="H38" s="9" t="s">
        <v>138</v>
      </c>
      <c r="I38" s="9" t="s">
        <v>139</v>
      </c>
      <c r="J38" s="9" t="n">
        <v>2024</v>
      </c>
      <c r="K38" s="7" t="n">
        <v>340</v>
      </c>
      <c r="L38" s="10" t="n">
        <v>4.7</v>
      </c>
      <c r="M38" s="11" t="s">
        <v>27</v>
      </c>
      <c r="N38" s="16" t="s">
        <v>140</v>
      </c>
      <c r="O38" s="12"/>
      <c r="P38" s="9" t="str">
        <f aca="false">IF(COUNTIFS($G$5:$G$66,G38,$H$5:$H$66,H38,$I$5:$I$66,I38,$C$5:$C$66,C38)&gt;1,"повтор","")</f>
        <v/>
      </c>
      <c r="Q38" s="9" t="str">
        <f aca="false">IF(C38&lt;&gt;"1:24","",IF(D38="","проверить",IF(D38&lt;=Параметры!$B$12,"ок","дороже лимита")))</f>
        <v>дороже лимита</v>
      </c>
      <c r="R38" s="13" t="s">
        <v>144</v>
      </c>
    </row>
    <row r="39" customFormat="false" ht="22.35" hidden="false" customHeight="false" outlineLevel="0" collapsed="false">
      <c r="A39" s="4" t="s">
        <v>145</v>
      </c>
      <c r="B39" s="5" t="s">
        <v>146</v>
      </c>
      <c r="C39" s="6" t="s">
        <v>147</v>
      </c>
      <c r="D39" s="15" t="n">
        <v>2849</v>
      </c>
      <c r="E39" s="8" t="n">
        <f aca="false">IF(D39="","",IF(D39&lt;Параметры!$B$4,CEILING(D39*Параметры!$B$5,100)-10,IF(D39&lt;=Параметры!$B$6,CEILING(D39*Параметры!$B$7,100)-10,CEILING(D39*Параметры!$B$8,100)-10)))</f>
        <v>4590</v>
      </c>
      <c r="F39" s="8" t="n">
        <f aca="false">IF(D39="","",ROUND(E39*(1-Параметры!$B$9-Параметры!$B$10-Параметры!$B$11)-D39,0))</f>
        <v>1075</v>
      </c>
      <c r="G39" s="9" t="s">
        <v>24</v>
      </c>
      <c r="H39" s="9" t="s">
        <v>138</v>
      </c>
      <c r="I39" s="9" t="s">
        <v>148</v>
      </c>
      <c r="J39" s="9" t="n">
        <v>2025</v>
      </c>
      <c r="K39" s="7" t="n">
        <v>136</v>
      </c>
      <c r="L39" s="10" t="n">
        <v>4.9</v>
      </c>
      <c r="M39" s="11" t="s">
        <v>27</v>
      </c>
      <c r="N39" s="16" t="s">
        <v>140</v>
      </c>
      <c r="O39" s="12" t="s">
        <v>149</v>
      </c>
      <c r="P39" s="9" t="str">
        <f aca="false">IF(COUNTIFS($G$5:$G$66,G39,$H$5:$H$66,H39,$I$5:$I$66,I39,$C$5:$C$66,C39)&gt;1,"повтор","")</f>
        <v/>
      </c>
      <c r="Q39" s="9" t="str">
        <f aca="false">IF(C39&lt;&gt;"1:24","",IF(D39="","проверить",IF(D39&lt;=Параметры!$B$12,"ок","дороже лимита")))</f>
        <v/>
      </c>
      <c r="R39" s="13" t="s">
        <v>150</v>
      </c>
    </row>
    <row r="40" customFormat="false" ht="15" hidden="false" customHeight="false" outlineLevel="0" collapsed="false">
      <c r="A40" s="4" t="s">
        <v>145</v>
      </c>
      <c r="B40" s="5" t="s">
        <v>151</v>
      </c>
      <c r="C40" s="6" t="s">
        <v>147</v>
      </c>
      <c r="D40" s="7" t="n">
        <v>3044</v>
      </c>
      <c r="E40" s="8" t="n">
        <f aca="false">IF(D40="","",IF(D40&lt;Параметры!$B$4,CEILING(D40*Параметры!$B$5,100)-10,IF(D40&lt;=Параметры!$B$6,CEILING(D40*Параметры!$B$7,100)-10,CEILING(D40*Параметры!$B$8,100)-10)))</f>
        <v>4890</v>
      </c>
      <c r="F40" s="8" t="n">
        <f aca="false">IF(D40="","",ROUND(E40*(1-Параметры!$B$9-Параметры!$B$10-Параметры!$B$11)-D40,0))</f>
        <v>1137</v>
      </c>
      <c r="G40" s="9" t="s">
        <v>40</v>
      </c>
      <c r="H40" s="9" t="s">
        <v>138</v>
      </c>
      <c r="I40" s="9" t="s">
        <v>148</v>
      </c>
      <c r="J40" s="9" t="n">
        <v>2025</v>
      </c>
      <c r="K40" s="7" t="n">
        <v>75</v>
      </c>
      <c r="L40" s="17"/>
      <c r="M40" s="11" t="s">
        <v>27</v>
      </c>
      <c r="N40" s="16" t="s">
        <v>140</v>
      </c>
      <c r="O40" s="12" t="s">
        <v>152</v>
      </c>
      <c r="P40" s="9" t="str">
        <f aca="false">IF(COUNTIFS($G$5:$G$66,G40,$H$5:$H$66,H40,$I$5:$I$66,I40,$C$5:$C$66,C40)&gt;1,"повтор","")</f>
        <v/>
      </c>
      <c r="Q40" s="9" t="str">
        <f aca="false">IF(C40&lt;&gt;"1:24","",IF(D40="","проверить",IF(D40&lt;=Параметры!$B$12,"ок","дороже лимита")))</f>
        <v/>
      </c>
      <c r="R40" s="13" t="s">
        <v>153</v>
      </c>
    </row>
    <row r="41" customFormat="false" ht="22.35" hidden="false" customHeight="false" outlineLevel="0" collapsed="false">
      <c r="A41" s="4" t="s">
        <v>145</v>
      </c>
      <c r="B41" s="5" t="s">
        <v>154</v>
      </c>
      <c r="C41" s="6" t="s">
        <v>147</v>
      </c>
      <c r="D41" s="7" t="n">
        <v>3563</v>
      </c>
      <c r="E41" s="8" t="n">
        <f aca="false">IF(D41="","",IF(D41&lt;Параметры!$B$4,CEILING(D41*Параметры!$B$5,100)-10,IF(D41&lt;=Параметры!$B$6,CEILING(D41*Параметры!$B$7,100)-10,CEILING(D41*Параметры!$B$8,100)-10)))</f>
        <v>5790</v>
      </c>
      <c r="F41" s="8" t="n">
        <f aca="false">IF(D41="","",ROUND(E41*(1-Параметры!$B$9-Параметры!$B$10-Параметры!$B$11)-D41,0))</f>
        <v>1387</v>
      </c>
      <c r="G41" s="9" t="s">
        <v>60</v>
      </c>
      <c r="H41" s="9" t="s">
        <v>138</v>
      </c>
      <c r="I41" s="9" t="s">
        <v>148</v>
      </c>
      <c r="J41" s="9" t="n">
        <v>2025</v>
      </c>
      <c r="K41" s="7" t="n">
        <v>604</v>
      </c>
      <c r="L41" s="10" t="n">
        <v>4.9</v>
      </c>
      <c r="M41" s="11" t="s">
        <v>27</v>
      </c>
      <c r="N41" s="16" t="s">
        <v>140</v>
      </c>
      <c r="O41" s="12"/>
      <c r="P41" s="9" t="str">
        <f aca="false">IF(COUNTIFS($G$5:$G$66,G41,$H$5:$H$66,H41,$I$5:$I$66,I41,$C$5:$C$66,C41)&gt;1,"повтор","")</f>
        <v/>
      </c>
      <c r="Q41" s="9" t="str">
        <f aca="false">IF(C41&lt;&gt;"1:24","",IF(D41="","проверить",IF(D41&lt;=Параметры!$B$12,"ок","дороже лимита")))</f>
        <v/>
      </c>
      <c r="R41" s="13" t="s">
        <v>155</v>
      </c>
    </row>
    <row r="42" customFormat="false" ht="15" hidden="false" customHeight="false" outlineLevel="0" collapsed="false">
      <c r="A42" s="4" t="s">
        <v>145</v>
      </c>
      <c r="B42" s="5" t="s">
        <v>156</v>
      </c>
      <c r="C42" s="6" t="s">
        <v>147</v>
      </c>
      <c r="D42" s="7" t="n">
        <v>3563</v>
      </c>
      <c r="E42" s="8" t="n">
        <f aca="false">IF(D42="","",IF(D42&lt;Параметры!$B$4,CEILING(D42*Параметры!$B$5,100)-10,IF(D42&lt;=Параметры!$B$6,CEILING(D42*Параметры!$B$7,100)-10,CEILING(D42*Параметры!$B$8,100)-10)))</f>
        <v>5790</v>
      </c>
      <c r="F42" s="8" t="n">
        <f aca="false">IF(D42="","",ROUND(E42*(1-Параметры!$B$9-Параметры!$B$10-Параметры!$B$11)-D42,0))</f>
        <v>1387</v>
      </c>
      <c r="G42" s="9" t="s">
        <v>110</v>
      </c>
      <c r="H42" s="9" t="s">
        <v>138</v>
      </c>
      <c r="I42" s="9" t="s">
        <v>148</v>
      </c>
      <c r="J42" s="9" t="n">
        <v>2024</v>
      </c>
      <c r="K42" s="7" t="n">
        <v>604</v>
      </c>
      <c r="L42" s="10" t="n">
        <v>4.9</v>
      </c>
      <c r="M42" s="11" t="s">
        <v>27</v>
      </c>
      <c r="N42" s="16" t="s">
        <v>140</v>
      </c>
      <c r="O42" s="12" t="s">
        <v>157</v>
      </c>
      <c r="P42" s="9" t="str">
        <f aca="false">IF(COUNTIFS($G$5:$G$66,G42,$H$5:$H$66,H42,$I$5:$I$66,I42,$C$5:$C$66,C42)&gt;1,"повтор","")</f>
        <v/>
      </c>
      <c r="Q42" s="9" t="str">
        <f aca="false">IF(C42&lt;&gt;"1:24","",IF(D42="","проверить",IF(D42&lt;=Параметры!$B$12,"ок","дороже лимита")))</f>
        <v/>
      </c>
      <c r="R42" s="13" t="s">
        <v>153</v>
      </c>
    </row>
    <row r="43" customFormat="false" ht="15" hidden="false" customHeight="false" outlineLevel="0" collapsed="false">
      <c r="A43" s="4" t="s">
        <v>145</v>
      </c>
      <c r="B43" s="5" t="s">
        <v>158</v>
      </c>
      <c r="C43" s="6" t="s">
        <v>147</v>
      </c>
      <c r="D43" s="7" t="n">
        <v>3563</v>
      </c>
      <c r="E43" s="8" t="n">
        <f aca="false">IF(D43="","",IF(D43&lt;Параметры!$B$4,CEILING(D43*Параметры!$B$5,100)-10,IF(D43&lt;=Параметры!$B$6,CEILING(D43*Параметры!$B$7,100)-10,CEILING(D43*Параметры!$B$8,100)-10)))</f>
        <v>5790</v>
      </c>
      <c r="F43" s="8" t="n">
        <f aca="false">IF(D43="","",ROUND(E43*(1-Параметры!$B$9-Параметры!$B$10-Параметры!$B$11)-D43,0))</f>
        <v>1387</v>
      </c>
      <c r="G43" s="9" t="s">
        <v>102</v>
      </c>
      <c r="H43" s="9" t="s">
        <v>138</v>
      </c>
      <c r="I43" s="9" t="s">
        <v>148</v>
      </c>
      <c r="J43" s="9" t="n">
        <v>2024</v>
      </c>
      <c r="K43" s="7" t="n">
        <v>604</v>
      </c>
      <c r="L43" s="10" t="n">
        <v>4.9</v>
      </c>
      <c r="M43" s="11" t="s">
        <v>27</v>
      </c>
      <c r="N43" s="16" t="s">
        <v>140</v>
      </c>
      <c r="O43" s="12" t="s">
        <v>157</v>
      </c>
      <c r="P43" s="9" t="str">
        <f aca="false">IF(COUNTIFS($G$5:$G$66,G43,$H$5:$H$66,H43,$I$5:$I$66,I43,$C$5:$C$66,C43)&gt;1,"повтор","")</f>
        <v/>
      </c>
      <c r="Q43" s="9" t="str">
        <f aca="false">IF(C43&lt;&gt;"1:24","",IF(D43="","проверить",IF(D43&lt;=Параметры!$B$12,"ок","дороже лимита")))</f>
        <v/>
      </c>
      <c r="R43" s="13" t="s">
        <v>153</v>
      </c>
    </row>
    <row r="44" customFormat="false" ht="15" hidden="false" customHeight="false" outlineLevel="0" collapsed="false">
      <c r="A44" s="4" t="s">
        <v>145</v>
      </c>
      <c r="B44" s="5" t="s">
        <v>159</v>
      </c>
      <c r="C44" s="6" t="s">
        <v>147</v>
      </c>
      <c r="D44" s="7" t="n">
        <v>3854</v>
      </c>
      <c r="E44" s="8" t="n">
        <f aca="false">IF(D44="","",IF(D44&lt;Параметры!$B$4,CEILING(D44*Параметры!$B$5,100)-10,IF(D44&lt;=Параметры!$B$6,CEILING(D44*Параметры!$B$7,100)-10,CEILING(D44*Параметры!$B$8,100)-10)))</f>
        <v>6190</v>
      </c>
      <c r="F44" s="8" t="n">
        <f aca="false">IF(D44="","",ROUND(E44*(1-Параметры!$B$9-Параметры!$B$10-Параметры!$B$11)-D44,0))</f>
        <v>1438</v>
      </c>
      <c r="G44" s="9" t="s">
        <v>160</v>
      </c>
      <c r="H44" s="9" t="s">
        <v>138</v>
      </c>
      <c r="I44" s="9" t="s">
        <v>148</v>
      </c>
      <c r="J44" s="9" t="n">
        <v>2023</v>
      </c>
      <c r="K44" s="7" t="n">
        <v>148</v>
      </c>
      <c r="L44" s="17"/>
      <c r="M44" s="11" t="s">
        <v>27</v>
      </c>
      <c r="N44" s="16" t="s">
        <v>140</v>
      </c>
      <c r="O44" s="12" t="s">
        <v>161</v>
      </c>
      <c r="P44" s="9" t="str">
        <f aca="false">IF(COUNTIFS($G$5:$G$66,G44,$H$5:$H$66,H44,$I$5:$I$66,I44,$C$5:$C$66,C44)&gt;1,"повтор","")</f>
        <v/>
      </c>
      <c r="Q44" s="9" t="str">
        <f aca="false">IF(C44&lt;&gt;"1:24","",IF(D44="","проверить",IF(D44&lt;=Параметры!$B$12,"ок","дороже лимита")))</f>
        <v/>
      </c>
      <c r="R44" s="13" t="s">
        <v>153</v>
      </c>
    </row>
    <row r="45" customFormat="false" ht="15" hidden="false" customHeight="false" outlineLevel="0" collapsed="false">
      <c r="A45" s="4" t="s">
        <v>145</v>
      </c>
      <c r="B45" s="5" t="s">
        <v>162</v>
      </c>
      <c r="C45" s="6" t="s">
        <v>147</v>
      </c>
      <c r="D45" s="7" t="n">
        <v>1904</v>
      </c>
      <c r="E45" s="8" t="n">
        <f aca="false">IF(D45="","",IF(D45&lt;Параметры!$B$4,CEILING(D45*Параметры!$B$5,100)-10,IF(D45&lt;=Параметры!$B$6,CEILING(D45*Параметры!$B$7,100)-10,CEILING(D45*Параметры!$B$8,100)-10)))</f>
        <v>3090</v>
      </c>
      <c r="F45" s="8" t="n">
        <f aca="false">IF(D45="","",ROUND(E45*(1-Параметры!$B$9-Параметры!$B$10-Параметры!$B$11)-D45,0))</f>
        <v>738</v>
      </c>
      <c r="G45" s="9" t="s">
        <v>67</v>
      </c>
      <c r="H45" s="9" t="s">
        <v>138</v>
      </c>
      <c r="I45" s="9" t="s">
        <v>148</v>
      </c>
      <c r="J45" s="9" t="n">
        <v>2025</v>
      </c>
      <c r="K45" s="7" t="n">
        <v>138</v>
      </c>
      <c r="L45" s="17"/>
      <c r="M45" s="11" t="s">
        <v>27</v>
      </c>
      <c r="N45" s="16" t="s">
        <v>140</v>
      </c>
      <c r="O45" s="12" t="s">
        <v>163</v>
      </c>
      <c r="P45" s="9" t="str">
        <f aca="false">IF(COUNTIFS($G$5:$G$66,G45,$H$5:$H$66,H45,$I$5:$I$66,I45,$C$5:$C$66,C45)&gt;1,"повтор","")</f>
        <v/>
      </c>
      <c r="Q45" s="9" t="str">
        <f aca="false">IF(C45&lt;&gt;"1:24","",IF(D45="","проверить",IF(D45&lt;=Параметры!$B$12,"ок","дороже лимита")))</f>
        <v/>
      </c>
      <c r="R45" s="13" t="s">
        <v>153</v>
      </c>
    </row>
    <row r="46" customFormat="false" ht="15" hidden="false" customHeight="false" outlineLevel="0" collapsed="false">
      <c r="A46" s="4" t="s">
        <v>164</v>
      </c>
      <c r="B46" s="5" t="s">
        <v>165</v>
      </c>
      <c r="C46" s="6" t="s">
        <v>166</v>
      </c>
      <c r="D46" s="7" t="n">
        <v>629</v>
      </c>
      <c r="E46" s="8" t="n">
        <f aca="false">IF(D46="","",IF(D46&lt;Параметры!$B$4,CEILING(D46*Параметры!$B$5,100)-10,IF(D46&lt;=Параметры!$B$6,CEILING(D46*Параметры!$B$7,100)-10,CEILING(D46*Параметры!$B$8,100)-10)))</f>
        <v>1290</v>
      </c>
      <c r="F46" s="8" t="n">
        <f aca="false">IF(D46="","",ROUND(E46*(1-Параметры!$B$9-Параметры!$B$10-Параметры!$B$11)-D46,0))</f>
        <v>474</v>
      </c>
      <c r="G46" s="9" t="s">
        <v>167</v>
      </c>
      <c r="H46" s="9" t="s">
        <v>138</v>
      </c>
      <c r="I46" s="9" t="s">
        <v>138</v>
      </c>
      <c r="J46" s="9" t="n">
        <v>1974</v>
      </c>
      <c r="K46" s="7" t="n">
        <v>112</v>
      </c>
      <c r="L46" s="10" t="n">
        <v>4.4</v>
      </c>
      <c r="M46" s="11" t="s">
        <v>27</v>
      </c>
      <c r="N46" s="6" t="s">
        <v>168</v>
      </c>
      <c r="O46" s="12"/>
      <c r="P46" s="9" t="str">
        <f aca="false">IF(COUNTIFS($G$5:$G$66,G46,$H$5:$H$66,H46,$I$5:$I$66,I46,$C$5:$C$66,C46)&gt;1,"повтор","")</f>
        <v/>
      </c>
      <c r="Q46" s="9" t="str">
        <f aca="false">IF(C46&lt;&gt;"1:24","",IF(D46="","проверить",IF(D46&lt;=Параметры!$B$12,"ок","дороже лимита")))</f>
        <v/>
      </c>
      <c r="R46" s="13" t="s">
        <v>169</v>
      </c>
    </row>
    <row r="47" customFormat="false" ht="15" hidden="false" customHeight="false" outlineLevel="0" collapsed="false">
      <c r="A47" s="4" t="s">
        <v>164</v>
      </c>
      <c r="B47" s="5" t="s">
        <v>170</v>
      </c>
      <c r="C47" s="6" t="s">
        <v>166</v>
      </c>
      <c r="D47" s="7" t="n">
        <v>629</v>
      </c>
      <c r="E47" s="8" t="n">
        <f aca="false">IF(D47="","",IF(D47&lt;Параметры!$B$4,CEILING(D47*Параметры!$B$5,100)-10,IF(D47&lt;=Параметры!$B$6,CEILING(D47*Параметры!$B$7,100)-10,CEILING(D47*Параметры!$B$8,100)-10)))</f>
        <v>1290</v>
      </c>
      <c r="F47" s="8" t="n">
        <f aca="false">IF(D47="","",ROUND(E47*(1-Параметры!$B$9-Параметры!$B$10-Параметры!$B$11)-D47,0))</f>
        <v>474</v>
      </c>
      <c r="G47" s="9" t="s">
        <v>171</v>
      </c>
      <c r="H47" s="9" t="s">
        <v>138</v>
      </c>
      <c r="I47" s="9" t="s">
        <v>138</v>
      </c>
      <c r="J47" s="9" t="n">
        <v>2008</v>
      </c>
      <c r="K47" s="7" t="n">
        <v>112</v>
      </c>
      <c r="L47" s="10" t="n">
        <v>4.4</v>
      </c>
      <c r="M47" s="11" t="s">
        <v>27</v>
      </c>
      <c r="N47" s="6" t="s">
        <v>172</v>
      </c>
      <c r="O47" s="12"/>
      <c r="P47" s="9" t="str">
        <f aca="false">IF(COUNTIFS($G$5:$G$66,G47,$H$5:$H$66,H47,$I$5:$I$66,I47,$C$5:$C$66,C47)&gt;1,"повтор","")</f>
        <v/>
      </c>
      <c r="Q47" s="9" t="str">
        <f aca="false">IF(C47&lt;&gt;"1:24","",IF(D47="","проверить",IF(D47&lt;=Параметры!$B$12,"ок","дороже лимита")))</f>
        <v/>
      </c>
      <c r="R47" s="13" t="s">
        <v>169</v>
      </c>
    </row>
    <row r="48" customFormat="false" ht="15" hidden="false" customHeight="false" outlineLevel="0" collapsed="false">
      <c r="A48" s="4" t="s">
        <v>164</v>
      </c>
      <c r="B48" s="5" t="s">
        <v>173</v>
      </c>
      <c r="C48" s="6" t="s">
        <v>166</v>
      </c>
      <c r="D48" s="7" t="n">
        <v>629</v>
      </c>
      <c r="E48" s="8" t="n">
        <f aca="false">IF(D48="","",IF(D48&lt;Параметры!$B$4,CEILING(D48*Параметры!$B$5,100)-10,IF(D48&lt;=Параметры!$B$6,CEILING(D48*Параметры!$B$7,100)-10,CEILING(D48*Параметры!$B$8,100)-10)))</f>
        <v>1290</v>
      </c>
      <c r="F48" s="8" t="n">
        <f aca="false">IF(D48="","",ROUND(E48*(1-Параметры!$B$9-Параметры!$B$10-Параметры!$B$11)-D48,0))</f>
        <v>474</v>
      </c>
      <c r="G48" s="9" t="s">
        <v>174</v>
      </c>
      <c r="H48" s="9" t="s">
        <v>138</v>
      </c>
      <c r="I48" s="9" t="s">
        <v>138</v>
      </c>
      <c r="J48" s="9" t="n">
        <v>2019</v>
      </c>
      <c r="K48" s="7" t="n">
        <v>112</v>
      </c>
      <c r="L48" s="10" t="n">
        <v>4.4</v>
      </c>
      <c r="M48" s="11" t="s">
        <v>27</v>
      </c>
      <c r="N48" s="6" t="s">
        <v>175</v>
      </c>
      <c r="O48" s="12"/>
      <c r="P48" s="9" t="str">
        <f aca="false">IF(COUNTIFS($G$5:$G$66,G48,$H$5:$H$66,H48,$I$5:$I$66,I48,$C$5:$C$66,C48)&gt;1,"повтор","")</f>
        <v/>
      </c>
      <c r="Q48" s="9" t="str">
        <f aca="false">IF(C48&lt;&gt;"1:24","",IF(D48="","проверить",IF(D48&lt;=Параметры!$B$12,"ок","дороже лимита")))</f>
        <v/>
      </c>
      <c r="R48" s="13" t="s">
        <v>169</v>
      </c>
    </row>
    <row r="49" customFormat="false" ht="15" hidden="false" customHeight="false" outlineLevel="0" collapsed="false">
      <c r="A49" s="4" t="s">
        <v>164</v>
      </c>
      <c r="B49" s="5" t="s">
        <v>176</v>
      </c>
      <c r="C49" s="6" t="s">
        <v>166</v>
      </c>
      <c r="D49" s="7" t="n">
        <v>629</v>
      </c>
      <c r="E49" s="8" t="n">
        <f aca="false">IF(D49="","",IF(D49&lt;Параметры!$B$4,CEILING(D49*Параметры!$B$5,100)-10,IF(D49&lt;=Параметры!$B$6,CEILING(D49*Параметры!$B$7,100)-10,CEILING(D49*Параметры!$B$8,100)-10)))</f>
        <v>1290</v>
      </c>
      <c r="F49" s="8" t="n">
        <f aca="false">IF(D49="","",ROUND(E49*(1-Параметры!$B$9-Параметры!$B$10-Параметры!$B$11)-D49,0))</f>
        <v>474</v>
      </c>
      <c r="G49" s="9" t="s">
        <v>177</v>
      </c>
      <c r="H49" s="9" t="s">
        <v>138</v>
      </c>
      <c r="I49" s="9" t="s">
        <v>138</v>
      </c>
      <c r="J49" s="9" t="n">
        <v>1986</v>
      </c>
      <c r="K49" s="7" t="n">
        <v>112</v>
      </c>
      <c r="L49" s="10" t="n">
        <v>4.4</v>
      </c>
      <c r="M49" s="11" t="s">
        <v>27</v>
      </c>
      <c r="N49" s="6" t="s">
        <v>178</v>
      </c>
      <c r="O49" s="12"/>
      <c r="P49" s="9" t="str">
        <f aca="false">IF(COUNTIFS($G$5:$G$66,G49,$H$5:$H$66,H49,$I$5:$I$66,I49,$C$5:$C$66,C49)&gt;1,"повтор","")</f>
        <v/>
      </c>
      <c r="Q49" s="9" t="str">
        <f aca="false">IF(C49&lt;&gt;"1:24","",IF(D49="","проверить",IF(D49&lt;=Параметры!$B$12,"ок","дороже лимита")))</f>
        <v/>
      </c>
      <c r="R49" s="13" t="s">
        <v>169</v>
      </c>
    </row>
    <row r="50" customFormat="false" ht="15" hidden="false" customHeight="false" outlineLevel="0" collapsed="false">
      <c r="A50" s="4" t="s">
        <v>164</v>
      </c>
      <c r="B50" s="5" t="s">
        <v>179</v>
      </c>
      <c r="C50" s="6" t="s">
        <v>166</v>
      </c>
      <c r="D50" s="7" t="n">
        <v>629</v>
      </c>
      <c r="E50" s="8" t="n">
        <f aca="false">IF(D50="","",IF(D50&lt;Параметры!$B$4,CEILING(D50*Параметры!$B$5,100)-10,IF(D50&lt;=Параметры!$B$6,CEILING(D50*Параметры!$B$7,100)-10,CEILING(D50*Параметры!$B$8,100)-10)))</f>
        <v>1290</v>
      </c>
      <c r="F50" s="8" t="n">
        <f aca="false">IF(D50="","",ROUND(E50*(1-Параметры!$B$9-Параметры!$B$10-Параметры!$B$11)-D50,0))</f>
        <v>474</v>
      </c>
      <c r="G50" s="9" t="s">
        <v>180</v>
      </c>
      <c r="H50" s="9" t="s">
        <v>138</v>
      </c>
      <c r="I50" s="9" t="s">
        <v>138</v>
      </c>
      <c r="J50" s="9" t="n">
        <v>2020</v>
      </c>
      <c r="K50" s="7" t="n">
        <v>112</v>
      </c>
      <c r="L50" s="10" t="n">
        <v>4.4</v>
      </c>
      <c r="M50" s="11" t="s">
        <v>27</v>
      </c>
      <c r="N50" s="6" t="s">
        <v>181</v>
      </c>
      <c r="O50" s="12"/>
      <c r="P50" s="9" t="str">
        <f aca="false">IF(COUNTIFS($G$5:$G$66,G50,$H$5:$H$66,H50,$I$5:$I$66,I50,$C$5:$C$66,C50)&gt;1,"повтор","")</f>
        <v/>
      </c>
      <c r="Q50" s="9" t="str">
        <f aca="false">IF(C50&lt;&gt;"1:24","",IF(D50="","проверить",IF(D50&lt;=Параметры!$B$12,"ок","дороже лимита")))</f>
        <v/>
      </c>
      <c r="R50" s="13" t="s">
        <v>169</v>
      </c>
    </row>
    <row r="51" customFormat="false" ht="15" hidden="false" customHeight="false" outlineLevel="0" collapsed="false">
      <c r="A51" s="4" t="s">
        <v>164</v>
      </c>
      <c r="B51" s="5" t="s">
        <v>182</v>
      </c>
      <c r="C51" s="6" t="s">
        <v>166</v>
      </c>
      <c r="D51" s="7" t="n">
        <v>629</v>
      </c>
      <c r="E51" s="8" t="n">
        <f aca="false">IF(D51="","",IF(D51&lt;Параметры!$B$4,CEILING(D51*Параметры!$B$5,100)-10,IF(D51&lt;=Параметры!$B$6,CEILING(D51*Параметры!$B$7,100)-10,CEILING(D51*Параметры!$B$8,100)-10)))</f>
        <v>1290</v>
      </c>
      <c r="F51" s="8" t="n">
        <f aca="false">IF(D51="","",ROUND(E51*(1-Параметры!$B$9-Параметры!$B$10-Параметры!$B$11)-D51,0))</f>
        <v>474</v>
      </c>
      <c r="G51" s="9" t="s">
        <v>183</v>
      </c>
      <c r="H51" s="9" t="s">
        <v>138</v>
      </c>
      <c r="I51" s="9" t="s">
        <v>138</v>
      </c>
      <c r="J51" s="9" t="n">
        <v>1987</v>
      </c>
      <c r="K51" s="7" t="n">
        <v>112</v>
      </c>
      <c r="L51" s="10" t="n">
        <v>4.4</v>
      </c>
      <c r="M51" s="11" t="s">
        <v>27</v>
      </c>
      <c r="N51" s="6" t="s">
        <v>184</v>
      </c>
      <c r="O51" s="12"/>
      <c r="P51" s="9" t="str">
        <f aca="false">IF(COUNTIFS($G$5:$G$66,G51,$H$5:$H$66,H51,$I$5:$I$66,I51,$C$5:$C$66,C51)&gt;1,"повтор","")</f>
        <v/>
      </c>
      <c r="Q51" s="9" t="str">
        <f aca="false">IF(C51&lt;&gt;"1:24","",IF(D51="","проверить",IF(D51&lt;=Параметры!$B$12,"ок","дороже лимита")))</f>
        <v/>
      </c>
      <c r="R51" s="13" t="s">
        <v>169</v>
      </c>
    </row>
    <row r="52" customFormat="false" ht="15" hidden="false" customHeight="false" outlineLevel="0" collapsed="false">
      <c r="A52" s="4" t="s">
        <v>164</v>
      </c>
      <c r="B52" s="5" t="s">
        <v>185</v>
      </c>
      <c r="C52" s="6" t="s">
        <v>166</v>
      </c>
      <c r="D52" s="7" t="n">
        <v>629</v>
      </c>
      <c r="E52" s="8" t="n">
        <f aca="false">IF(D52="","",IF(D52&lt;Параметры!$B$4,CEILING(D52*Параметры!$B$5,100)-10,IF(D52&lt;=Параметры!$B$6,CEILING(D52*Параметры!$B$7,100)-10,CEILING(D52*Параметры!$B$8,100)-10)))</f>
        <v>1290</v>
      </c>
      <c r="F52" s="8" t="n">
        <f aca="false">IF(D52="","",ROUND(E52*(1-Параметры!$B$9-Параметры!$B$10-Параметры!$B$11)-D52,0))</f>
        <v>474</v>
      </c>
      <c r="G52" s="9" t="s">
        <v>186</v>
      </c>
      <c r="H52" s="9" t="s">
        <v>138</v>
      </c>
      <c r="I52" s="9" t="s">
        <v>138</v>
      </c>
      <c r="J52" s="9" t="n">
        <v>1991</v>
      </c>
      <c r="K52" s="7" t="n">
        <v>112</v>
      </c>
      <c r="L52" s="10" t="n">
        <v>4.4</v>
      </c>
      <c r="M52" s="11" t="s">
        <v>27</v>
      </c>
      <c r="N52" s="6" t="s">
        <v>187</v>
      </c>
      <c r="O52" s="12"/>
      <c r="P52" s="9" t="str">
        <f aca="false">IF(COUNTIFS($G$5:$G$66,G52,$H$5:$H$66,H52,$I$5:$I$66,I52,$C$5:$C$66,C52)&gt;1,"повтор","")</f>
        <v/>
      </c>
      <c r="Q52" s="9" t="str">
        <f aca="false">IF(C52&lt;&gt;"1:24","",IF(D52="","проверить",IF(D52&lt;=Параметры!$B$12,"ок","дороже лимита")))</f>
        <v/>
      </c>
      <c r="R52" s="13" t="s">
        <v>169</v>
      </c>
    </row>
    <row r="53" customFormat="false" ht="15" hidden="false" customHeight="false" outlineLevel="0" collapsed="false">
      <c r="A53" s="4" t="s">
        <v>164</v>
      </c>
      <c r="B53" s="5" t="s">
        <v>188</v>
      </c>
      <c r="C53" s="6" t="s">
        <v>166</v>
      </c>
      <c r="D53" s="7" t="n">
        <v>629</v>
      </c>
      <c r="E53" s="8" t="n">
        <f aca="false">IF(D53="","",IF(D53&lt;Параметры!$B$4,CEILING(D53*Параметры!$B$5,100)-10,IF(D53&lt;=Параметры!$B$6,CEILING(D53*Параметры!$B$7,100)-10,CEILING(D53*Параметры!$B$8,100)-10)))</f>
        <v>1290</v>
      </c>
      <c r="F53" s="8" t="n">
        <f aca="false">IF(D53="","",ROUND(E53*(1-Параметры!$B$9-Параметры!$B$10-Параметры!$B$11)-D53,0))</f>
        <v>474</v>
      </c>
      <c r="G53" s="9" t="s">
        <v>189</v>
      </c>
      <c r="H53" s="9" t="s">
        <v>138</v>
      </c>
      <c r="I53" s="9" t="s">
        <v>138</v>
      </c>
      <c r="J53" s="9" t="n">
        <v>2019</v>
      </c>
      <c r="K53" s="7" t="n">
        <v>112</v>
      </c>
      <c r="L53" s="10" t="n">
        <v>4.4</v>
      </c>
      <c r="M53" s="11" t="s">
        <v>27</v>
      </c>
      <c r="N53" s="6" t="s">
        <v>190</v>
      </c>
      <c r="O53" s="12"/>
      <c r="P53" s="9" t="str">
        <f aca="false">IF(COUNTIFS($G$5:$G$66,G53,$H$5:$H$66,H53,$I$5:$I$66,I53,$C$5:$C$66,C53)&gt;1,"повтор","")</f>
        <v/>
      </c>
      <c r="Q53" s="9" t="str">
        <f aca="false">IF(C53&lt;&gt;"1:24","",IF(D53="","проверить",IF(D53&lt;=Параметры!$B$12,"ок","дороже лимита")))</f>
        <v/>
      </c>
      <c r="R53" s="13" t="s">
        <v>169</v>
      </c>
    </row>
    <row r="54" customFormat="false" ht="15" hidden="false" customHeight="false" outlineLevel="0" collapsed="false">
      <c r="A54" s="4" t="s">
        <v>164</v>
      </c>
      <c r="B54" s="5" t="s">
        <v>191</v>
      </c>
      <c r="C54" s="6" t="s">
        <v>166</v>
      </c>
      <c r="D54" s="7" t="n">
        <v>629</v>
      </c>
      <c r="E54" s="8" t="n">
        <f aca="false">IF(D54="","",IF(D54&lt;Параметры!$B$4,CEILING(D54*Параметры!$B$5,100)-10,IF(D54&lt;=Параметры!$B$6,CEILING(D54*Параметры!$B$7,100)-10,CEILING(D54*Параметры!$B$8,100)-10)))</f>
        <v>1290</v>
      </c>
      <c r="F54" s="8" t="n">
        <f aca="false">IF(D54="","",ROUND(E54*(1-Параметры!$B$9-Параметры!$B$10-Параметры!$B$11)-D54,0))</f>
        <v>474</v>
      </c>
      <c r="G54" s="9" t="s">
        <v>192</v>
      </c>
      <c r="H54" s="9" t="s">
        <v>138</v>
      </c>
      <c r="I54" s="9" t="s">
        <v>138</v>
      </c>
      <c r="J54" s="9" t="n">
        <v>1990</v>
      </c>
      <c r="K54" s="7" t="n">
        <v>112</v>
      </c>
      <c r="L54" s="10" t="n">
        <v>4.4</v>
      </c>
      <c r="M54" s="11" t="s">
        <v>27</v>
      </c>
      <c r="N54" s="6" t="s">
        <v>193</v>
      </c>
      <c r="O54" s="12"/>
      <c r="P54" s="9" t="str">
        <f aca="false">IF(COUNTIFS($G$5:$G$66,G54,$H$5:$H$66,H54,$I$5:$I$66,I54,$C$5:$C$66,C54)&gt;1,"повтор","")</f>
        <v/>
      </c>
      <c r="Q54" s="9" t="str">
        <f aca="false">IF(C54&lt;&gt;"1:24","",IF(D54="","проверить",IF(D54&lt;=Параметры!$B$12,"ок","дороже лимита")))</f>
        <v/>
      </c>
      <c r="R54" s="13" t="s">
        <v>169</v>
      </c>
    </row>
    <row r="55" customFormat="false" ht="15" hidden="false" customHeight="false" outlineLevel="0" collapsed="false">
      <c r="A55" s="4" t="s">
        <v>164</v>
      </c>
      <c r="B55" s="5" t="s">
        <v>194</v>
      </c>
      <c r="C55" s="6" t="s">
        <v>166</v>
      </c>
      <c r="D55" s="7" t="n">
        <v>629</v>
      </c>
      <c r="E55" s="8" t="n">
        <f aca="false">IF(D55="","",IF(D55&lt;Параметры!$B$4,CEILING(D55*Параметры!$B$5,100)-10,IF(D55&lt;=Параметры!$B$6,CEILING(D55*Параметры!$B$7,100)-10,CEILING(D55*Параметры!$B$8,100)-10)))</f>
        <v>1290</v>
      </c>
      <c r="F55" s="8" t="n">
        <f aca="false">IF(D55="","",ROUND(E55*(1-Параметры!$B$9-Параметры!$B$10-Параметры!$B$11)-D55,0))</f>
        <v>474</v>
      </c>
      <c r="G55" s="9" t="s">
        <v>195</v>
      </c>
      <c r="H55" s="9" t="s">
        <v>138</v>
      </c>
      <c r="I55" s="9" t="s">
        <v>138</v>
      </c>
      <c r="J55" s="9" t="n">
        <v>1988</v>
      </c>
      <c r="K55" s="7" t="n">
        <v>112</v>
      </c>
      <c r="L55" s="10" t="n">
        <v>4.4</v>
      </c>
      <c r="M55" s="11" t="s">
        <v>27</v>
      </c>
      <c r="N55" s="6" t="s">
        <v>196</v>
      </c>
      <c r="O55" s="12"/>
      <c r="P55" s="9" t="str">
        <f aca="false">IF(COUNTIFS($G$5:$G$66,G55,$H$5:$H$66,H55,$I$5:$I$66,I55,$C$5:$C$66,C55)&gt;1,"повтор","")</f>
        <v/>
      </c>
      <c r="Q55" s="9" t="str">
        <f aca="false">IF(C55&lt;&gt;"1:24","",IF(D55="","проверить",IF(D55&lt;=Параметры!$B$12,"ок","дороже лимита")))</f>
        <v/>
      </c>
      <c r="R55" s="13" t="s">
        <v>169</v>
      </c>
    </row>
    <row r="56" customFormat="false" ht="15" hidden="false" customHeight="false" outlineLevel="0" collapsed="false">
      <c r="A56" s="4" t="s">
        <v>164</v>
      </c>
      <c r="B56" s="5" t="s">
        <v>197</v>
      </c>
      <c r="C56" s="6" t="s">
        <v>166</v>
      </c>
      <c r="D56" s="7" t="n">
        <v>629</v>
      </c>
      <c r="E56" s="8" t="n">
        <f aca="false">IF(D56="","",IF(D56&lt;Параметры!$B$4,CEILING(D56*Параметры!$B$5,100)-10,IF(D56&lt;=Параметры!$B$6,CEILING(D56*Параметры!$B$7,100)-10,CEILING(D56*Параметры!$B$8,100)-10)))</f>
        <v>1290</v>
      </c>
      <c r="F56" s="8" t="n">
        <f aca="false">IF(D56="","",ROUND(E56*(1-Параметры!$B$9-Параметры!$B$10-Параметры!$B$11)-D56,0))</f>
        <v>474</v>
      </c>
      <c r="G56" s="9" t="s">
        <v>198</v>
      </c>
      <c r="H56" s="9" t="s">
        <v>138</v>
      </c>
      <c r="I56" s="9" t="s">
        <v>138</v>
      </c>
      <c r="J56" s="9" t="n">
        <v>1991</v>
      </c>
      <c r="K56" s="7" t="n">
        <v>112</v>
      </c>
      <c r="L56" s="10" t="n">
        <v>4.4</v>
      </c>
      <c r="M56" s="11" t="s">
        <v>27</v>
      </c>
      <c r="N56" s="6" t="s">
        <v>199</v>
      </c>
      <c r="O56" s="12"/>
      <c r="P56" s="9" t="str">
        <f aca="false">IF(COUNTIFS($G$5:$G$66,G56,$H$5:$H$66,H56,$I$5:$I$66,I56,$C$5:$C$66,C56)&gt;1,"повтор","")</f>
        <v/>
      </c>
      <c r="Q56" s="9" t="str">
        <f aca="false">IF(C56&lt;&gt;"1:24","",IF(D56="","проверить",IF(D56&lt;=Параметры!$B$12,"ок","дороже лимита")))</f>
        <v/>
      </c>
      <c r="R56" s="13" t="s">
        <v>169</v>
      </c>
    </row>
    <row r="57" customFormat="false" ht="15" hidden="false" customHeight="false" outlineLevel="0" collapsed="false">
      <c r="A57" s="4" t="s">
        <v>164</v>
      </c>
      <c r="B57" s="5" t="s">
        <v>200</v>
      </c>
      <c r="C57" s="6" t="s">
        <v>166</v>
      </c>
      <c r="D57" s="7" t="n">
        <v>629</v>
      </c>
      <c r="E57" s="8" t="n">
        <f aca="false">IF(D57="","",IF(D57&lt;Параметры!$B$4,CEILING(D57*Параметры!$B$5,100)-10,IF(D57&lt;=Параметры!$B$6,CEILING(D57*Параметры!$B$7,100)-10,CEILING(D57*Параметры!$B$8,100)-10)))</f>
        <v>1290</v>
      </c>
      <c r="F57" s="8" t="n">
        <f aca="false">IF(D57="","",ROUND(E57*(1-Параметры!$B$9-Параметры!$B$10-Параметры!$B$11)-D57,0))</f>
        <v>474</v>
      </c>
      <c r="G57" s="9" t="s">
        <v>201</v>
      </c>
      <c r="H57" s="9" t="s">
        <v>138</v>
      </c>
      <c r="I57" s="9" t="s">
        <v>138</v>
      </c>
      <c r="J57" s="9" t="n">
        <v>2009</v>
      </c>
      <c r="K57" s="7" t="n">
        <v>112</v>
      </c>
      <c r="L57" s="10" t="n">
        <v>4.4</v>
      </c>
      <c r="M57" s="11" t="s">
        <v>27</v>
      </c>
      <c r="N57" s="6" t="s">
        <v>202</v>
      </c>
      <c r="O57" s="12"/>
      <c r="P57" s="9" t="str">
        <f aca="false">IF(COUNTIFS($G$5:$G$66,G57,$H$5:$H$66,H57,$I$5:$I$66,I57,$C$5:$C$66,C57)&gt;1,"повтор","")</f>
        <v/>
      </c>
      <c r="Q57" s="9" t="str">
        <f aca="false">IF(C57&lt;&gt;"1:24","",IF(D57="","проверить",IF(D57&lt;=Параметры!$B$12,"ок","дороже лимита")))</f>
        <v/>
      </c>
      <c r="R57" s="13" t="s">
        <v>169</v>
      </c>
    </row>
    <row r="58" customFormat="false" ht="15" hidden="false" customHeight="false" outlineLevel="0" collapsed="false">
      <c r="A58" s="4" t="s">
        <v>164</v>
      </c>
      <c r="B58" s="5" t="s">
        <v>203</v>
      </c>
      <c r="C58" s="6" t="s">
        <v>166</v>
      </c>
      <c r="D58" s="7" t="n">
        <v>629</v>
      </c>
      <c r="E58" s="8" t="n">
        <f aca="false">IF(D58="","",IF(D58&lt;Параметры!$B$4,CEILING(D58*Параметры!$B$5,100)-10,IF(D58&lt;=Параметры!$B$6,CEILING(D58*Параметры!$B$7,100)-10,CEILING(D58*Параметры!$B$8,100)-10)))</f>
        <v>1290</v>
      </c>
      <c r="F58" s="8" t="n">
        <f aca="false">IF(D58="","",ROUND(E58*(1-Параметры!$B$9-Параметры!$B$10-Параметры!$B$11)-D58,0))</f>
        <v>474</v>
      </c>
      <c r="G58" s="9" t="s">
        <v>204</v>
      </c>
      <c r="H58" s="9" t="s">
        <v>138</v>
      </c>
      <c r="I58" s="9" t="s">
        <v>138</v>
      </c>
      <c r="J58" s="9" t="n">
        <v>1991</v>
      </c>
      <c r="K58" s="7" t="n">
        <v>112</v>
      </c>
      <c r="L58" s="10" t="n">
        <v>4.4</v>
      </c>
      <c r="M58" s="11" t="s">
        <v>27</v>
      </c>
      <c r="N58" s="6" t="s">
        <v>205</v>
      </c>
      <c r="O58" s="12"/>
      <c r="P58" s="9" t="str">
        <f aca="false">IF(COUNTIFS($G$5:$G$66,G58,$H$5:$H$66,H58,$I$5:$I$66,I58,$C$5:$C$66,C58)&gt;1,"повтор","")</f>
        <v/>
      </c>
      <c r="Q58" s="9" t="str">
        <f aca="false">IF(C58&lt;&gt;"1:24","",IF(D58="","проверить",IF(D58&lt;=Параметры!$B$12,"ок","дороже лимита")))</f>
        <v/>
      </c>
      <c r="R58" s="13" t="s">
        <v>169</v>
      </c>
    </row>
    <row r="59" customFormat="false" ht="15" hidden="false" customHeight="false" outlineLevel="0" collapsed="false">
      <c r="A59" s="4" t="s">
        <v>164</v>
      </c>
      <c r="B59" s="5" t="s">
        <v>206</v>
      </c>
      <c r="C59" s="6" t="s">
        <v>166</v>
      </c>
      <c r="D59" s="7" t="n">
        <v>629</v>
      </c>
      <c r="E59" s="8" t="n">
        <f aca="false">IF(D59="","",IF(D59&lt;Параметры!$B$4,CEILING(D59*Параметры!$B$5,100)-10,IF(D59&lt;=Параметры!$B$6,CEILING(D59*Параметры!$B$7,100)-10,CEILING(D59*Параметры!$B$8,100)-10)))</f>
        <v>1290</v>
      </c>
      <c r="F59" s="8" t="n">
        <f aca="false">IF(D59="","",ROUND(E59*(1-Параметры!$B$9-Параметры!$B$10-Параметры!$B$11)-D59,0))</f>
        <v>474</v>
      </c>
      <c r="G59" s="9" t="s">
        <v>207</v>
      </c>
      <c r="H59" s="9" t="s">
        <v>138</v>
      </c>
      <c r="I59" s="9" t="s">
        <v>138</v>
      </c>
      <c r="J59" s="9" t="n">
        <v>2005</v>
      </c>
      <c r="K59" s="7" t="n">
        <v>112</v>
      </c>
      <c r="L59" s="10" t="n">
        <v>4.4</v>
      </c>
      <c r="M59" s="11" t="s">
        <v>27</v>
      </c>
      <c r="N59" s="6" t="s">
        <v>208</v>
      </c>
      <c r="O59" s="12"/>
      <c r="P59" s="9" t="str">
        <f aca="false">IF(COUNTIFS($G$5:$G$66,G59,$H$5:$H$66,H59,$I$5:$I$66,I59,$C$5:$C$66,C59)&gt;1,"повтор","")</f>
        <v/>
      </c>
      <c r="Q59" s="9" t="str">
        <f aca="false">IF(C59&lt;&gt;"1:24","",IF(D59="","проверить",IF(D59&lt;=Параметры!$B$12,"ок","дороже лимита")))</f>
        <v/>
      </c>
      <c r="R59" s="13" t="s">
        <v>169</v>
      </c>
    </row>
    <row r="60" customFormat="false" ht="15" hidden="false" customHeight="false" outlineLevel="0" collapsed="false">
      <c r="A60" s="4" t="s">
        <v>164</v>
      </c>
      <c r="B60" s="5" t="s">
        <v>209</v>
      </c>
      <c r="C60" s="6" t="s">
        <v>166</v>
      </c>
      <c r="D60" s="7" t="n">
        <v>629</v>
      </c>
      <c r="E60" s="8" t="n">
        <f aca="false">IF(D60="","",IF(D60&lt;Параметры!$B$4,CEILING(D60*Параметры!$B$5,100)-10,IF(D60&lt;=Параметры!$B$6,CEILING(D60*Параметры!$B$7,100)-10,CEILING(D60*Параметры!$B$8,100)-10)))</f>
        <v>1290</v>
      </c>
      <c r="F60" s="8" t="n">
        <f aca="false">IF(D60="","",ROUND(E60*(1-Параметры!$B$9-Параметры!$B$10-Параметры!$B$11)-D60,0))</f>
        <v>474</v>
      </c>
      <c r="G60" s="9" t="s">
        <v>210</v>
      </c>
      <c r="H60" s="9" t="s">
        <v>138</v>
      </c>
      <c r="I60" s="9" t="s">
        <v>138</v>
      </c>
      <c r="J60" s="9" t="n">
        <v>2007</v>
      </c>
      <c r="K60" s="7" t="n">
        <v>112</v>
      </c>
      <c r="L60" s="10" t="n">
        <v>4.4</v>
      </c>
      <c r="M60" s="11" t="s">
        <v>27</v>
      </c>
      <c r="N60" s="6" t="s">
        <v>211</v>
      </c>
      <c r="O60" s="12"/>
      <c r="P60" s="9" t="str">
        <f aca="false">IF(COUNTIFS($G$5:$G$66,G60,$H$5:$H$66,H60,$I$5:$I$66,I60,$C$5:$C$66,C60)&gt;1,"повтор","")</f>
        <v/>
      </c>
      <c r="Q60" s="9" t="str">
        <f aca="false">IF(C60&lt;&gt;"1:24","",IF(D60="","проверить",IF(D60&lt;=Параметры!$B$12,"ок","дороже лимита")))</f>
        <v/>
      </c>
      <c r="R60" s="13" t="s">
        <v>169</v>
      </c>
    </row>
    <row r="61" customFormat="false" ht="15" hidden="false" customHeight="false" outlineLevel="0" collapsed="false">
      <c r="A61" s="4" t="s">
        <v>164</v>
      </c>
      <c r="B61" s="5" t="s">
        <v>212</v>
      </c>
      <c r="C61" s="6" t="s">
        <v>166</v>
      </c>
      <c r="D61" s="7" t="n">
        <v>629</v>
      </c>
      <c r="E61" s="8" t="n">
        <f aca="false">IF(D61="","",IF(D61&lt;Параметры!$B$4,CEILING(D61*Параметры!$B$5,100)-10,IF(D61&lt;=Параметры!$B$6,CEILING(D61*Параметры!$B$7,100)-10,CEILING(D61*Параметры!$B$8,100)-10)))</f>
        <v>1290</v>
      </c>
      <c r="F61" s="8" t="n">
        <f aca="false">IF(D61="","",ROUND(E61*(1-Параметры!$B$9-Параметры!$B$10-Параметры!$B$11)-D61,0))</f>
        <v>474</v>
      </c>
      <c r="G61" s="9" t="s">
        <v>213</v>
      </c>
      <c r="H61" s="9" t="s">
        <v>138</v>
      </c>
      <c r="I61" s="9" t="s">
        <v>138</v>
      </c>
      <c r="J61" s="9" t="n">
        <v>2008</v>
      </c>
      <c r="K61" s="7" t="n">
        <v>112</v>
      </c>
      <c r="L61" s="10" t="n">
        <v>4.4</v>
      </c>
      <c r="M61" s="11" t="s">
        <v>27</v>
      </c>
      <c r="N61" s="6" t="s">
        <v>214</v>
      </c>
      <c r="O61" s="12"/>
      <c r="P61" s="9" t="str">
        <f aca="false">IF(COUNTIFS($G$5:$G$66,G61,$H$5:$H$66,H61,$I$5:$I$66,I61,$C$5:$C$66,C61)&gt;1,"повтор","")</f>
        <v/>
      </c>
      <c r="Q61" s="9" t="str">
        <f aca="false">IF(C61&lt;&gt;"1:24","",IF(D61="","проверить",IF(D61&lt;=Параметры!$B$12,"ок","дороже лимита")))</f>
        <v/>
      </c>
      <c r="R61" s="13" t="s">
        <v>169</v>
      </c>
    </row>
    <row r="62" customFormat="false" ht="15" hidden="false" customHeight="false" outlineLevel="0" collapsed="false">
      <c r="A62" s="4" t="s">
        <v>164</v>
      </c>
      <c r="B62" s="5" t="s">
        <v>215</v>
      </c>
      <c r="C62" s="6" t="s">
        <v>166</v>
      </c>
      <c r="D62" s="7" t="n">
        <v>629</v>
      </c>
      <c r="E62" s="8" t="n">
        <f aca="false">IF(D62="","",IF(D62&lt;Параметры!$B$4,CEILING(D62*Параметры!$B$5,100)-10,IF(D62&lt;=Параметры!$B$6,CEILING(D62*Параметры!$B$7,100)-10,CEILING(D62*Параметры!$B$8,100)-10)))</f>
        <v>1290</v>
      </c>
      <c r="F62" s="8" t="n">
        <f aca="false">IF(D62="","",ROUND(E62*(1-Параметры!$B$9-Параметры!$B$10-Параметры!$B$11)-D62,0))</f>
        <v>474</v>
      </c>
      <c r="G62" s="9" t="s">
        <v>216</v>
      </c>
      <c r="H62" s="9" t="s">
        <v>138</v>
      </c>
      <c r="I62" s="9" t="s">
        <v>138</v>
      </c>
      <c r="J62" s="9" t="n">
        <v>2019</v>
      </c>
      <c r="K62" s="7" t="n">
        <v>112</v>
      </c>
      <c r="L62" s="10" t="n">
        <v>4.4</v>
      </c>
      <c r="M62" s="11" t="s">
        <v>27</v>
      </c>
      <c r="N62" s="6" t="s">
        <v>217</v>
      </c>
      <c r="O62" s="12"/>
      <c r="P62" s="9" t="str">
        <f aca="false">IF(COUNTIFS($G$5:$G$66,G62,$H$5:$H$66,H62,$I$5:$I$66,I62,$C$5:$C$66,C62)&gt;1,"повтор","")</f>
        <v/>
      </c>
      <c r="Q62" s="9" t="str">
        <f aca="false">IF(C62&lt;&gt;"1:24","",IF(D62="","проверить",IF(D62&lt;=Параметры!$B$12,"ок","дороже лимита")))</f>
        <v/>
      </c>
      <c r="R62" s="13" t="s">
        <v>169</v>
      </c>
    </row>
    <row r="63" customFormat="false" ht="15" hidden="false" customHeight="false" outlineLevel="0" collapsed="false">
      <c r="A63" s="4" t="s">
        <v>164</v>
      </c>
      <c r="B63" s="5" t="s">
        <v>218</v>
      </c>
      <c r="C63" s="6" t="s">
        <v>166</v>
      </c>
      <c r="D63" s="7" t="n">
        <v>629</v>
      </c>
      <c r="E63" s="8" t="n">
        <f aca="false">IF(D63="","",IF(D63&lt;Параметры!$B$4,CEILING(D63*Параметры!$B$5,100)-10,IF(D63&lt;=Параметры!$B$6,CEILING(D63*Параметры!$B$7,100)-10,CEILING(D63*Параметры!$B$8,100)-10)))</f>
        <v>1290</v>
      </c>
      <c r="F63" s="8" t="n">
        <f aca="false">IF(D63="","",ROUND(E63*(1-Параметры!$B$9-Параметры!$B$10-Параметры!$B$11)-D63,0))</f>
        <v>474</v>
      </c>
      <c r="G63" s="9" t="s">
        <v>219</v>
      </c>
      <c r="H63" s="9" t="s">
        <v>138</v>
      </c>
      <c r="I63" s="9" t="s">
        <v>138</v>
      </c>
      <c r="J63" s="9" t="n">
        <v>1975</v>
      </c>
      <c r="K63" s="7" t="n">
        <v>112</v>
      </c>
      <c r="L63" s="10" t="n">
        <v>4.4</v>
      </c>
      <c r="M63" s="11" t="s">
        <v>27</v>
      </c>
      <c r="N63" s="6" t="s">
        <v>220</v>
      </c>
      <c r="O63" s="12"/>
      <c r="P63" s="9" t="str">
        <f aca="false">IF(COUNTIFS($G$5:$G$66,G63,$H$5:$H$66,H63,$I$5:$I$66,I63,$C$5:$C$66,C63)&gt;1,"повтор","")</f>
        <v/>
      </c>
      <c r="Q63" s="9" t="str">
        <f aca="false">IF(C63&lt;&gt;"1:24","",IF(D63="","проверить",IF(D63&lt;=Параметры!$B$12,"ок","дороже лимита")))</f>
        <v/>
      </c>
      <c r="R63" s="13" t="s">
        <v>169</v>
      </c>
    </row>
    <row r="64" customFormat="false" ht="15" hidden="false" customHeight="false" outlineLevel="0" collapsed="false">
      <c r="A64" s="4" t="s">
        <v>164</v>
      </c>
      <c r="B64" s="5" t="s">
        <v>221</v>
      </c>
      <c r="C64" s="6" t="s">
        <v>166</v>
      </c>
      <c r="D64" s="7" t="n">
        <v>629</v>
      </c>
      <c r="E64" s="8" t="n">
        <f aca="false">IF(D64="","",IF(D64&lt;Параметры!$B$4,CEILING(D64*Параметры!$B$5,100)-10,IF(D64&lt;=Параметры!$B$6,CEILING(D64*Параметры!$B$7,100)-10,CEILING(D64*Параметры!$B$8,100)-10)))</f>
        <v>1290</v>
      </c>
      <c r="F64" s="8" t="n">
        <f aca="false">IF(D64="","",ROUND(E64*(1-Параметры!$B$9-Параметры!$B$10-Параметры!$B$11)-D64,0))</f>
        <v>474</v>
      </c>
      <c r="G64" s="9" t="s">
        <v>222</v>
      </c>
      <c r="H64" s="9" t="s">
        <v>138</v>
      </c>
      <c r="I64" s="9" t="s">
        <v>138</v>
      </c>
      <c r="J64" s="9" t="n">
        <v>1984</v>
      </c>
      <c r="K64" s="7" t="n">
        <v>112</v>
      </c>
      <c r="L64" s="10" t="n">
        <v>4.4</v>
      </c>
      <c r="M64" s="11" t="s">
        <v>27</v>
      </c>
      <c r="N64" s="6" t="s">
        <v>223</v>
      </c>
      <c r="O64" s="12"/>
      <c r="P64" s="9" t="str">
        <f aca="false">IF(COUNTIFS($G$5:$G$66,G64,$H$5:$H$66,H64,$I$5:$I$66,I64,$C$5:$C$66,C64)&gt;1,"повтор","")</f>
        <v/>
      </c>
      <c r="Q64" s="9" t="str">
        <f aca="false">IF(C64&lt;&gt;"1:24","",IF(D64="","проверить",IF(D64&lt;=Параметры!$B$12,"ок","дороже лимита")))</f>
        <v/>
      </c>
      <c r="R64" s="13" t="s">
        <v>169</v>
      </c>
    </row>
    <row r="65" customFormat="false" ht="15" hidden="false" customHeight="false" outlineLevel="0" collapsed="false">
      <c r="A65" s="4" t="s">
        <v>164</v>
      </c>
      <c r="B65" s="5" t="s">
        <v>224</v>
      </c>
      <c r="C65" s="6" t="s">
        <v>166</v>
      </c>
      <c r="D65" s="7" t="n">
        <v>629</v>
      </c>
      <c r="E65" s="8" t="n">
        <f aca="false">IF(D65="","",IF(D65&lt;Параметры!$B$4,CEILING(D65*Параметры!$B$5,100)-10,IF(D65&lt;=Параметры!$B$6,CEILING(D65*Параметры!$B$7,100)-10,CEILING(D65*Параметры!$B$8,100)-10)))</f>
        <v>1290</v>
      </c>
      <c r="F65" s="8" t="n">
        <f aca="false">IF(D65="","",ROUND(E65*(1-Параметры!$B$9-Параметры!$B$10-Параметры!$B$11)-D65,0))</f>
        <v>474</v>
      </c>
      <c r="G65" s="9" t="s">
        <v>225</v>
      </c>
      <c r="H65" s="9" t="s">
        <v>138</v>
      </c>
      <c r="I65" s="9" t="s">
        <v>138</v>
      </c>
      <c r="J65" s="9" t="n">
        <v>2011</v>
      </c>
      <c r="K65" s="7" t="n">
        <v>112</v>
      </c>
      <c r="L65" s="10" t="n">
        <v>4.4</v>
      </c>
      <c r="M65" s="11" t="s">
        <v>27</v>
      </c>
      <c r="N65" s="6" t="s">
        <v>226</v>
      </c>
      <c r="O65" s="12"/>
      <c r="P65" s="9" t="str">
        <f aca="false">IF(COUNTIFS($G$5:$G$66,G65,$H$5:$H$66,H65,$I$5:$I$66,I65,$C$5:$C$66,C65)&gt;1,"повтор","")</f>
        <v/>
      </c>
      <c r="Q65" s="9" t="str">
        <f aca="false">IF(C65&lt;&gt;"1:24","",IF(D65="","проверить",IF(D65&lt;=Параметры!$B$12,"ок","дороже лимита")))</f>
        <v/>
      </c>
      <c r="R65" s="13" t="s">
        <v>169</v>
      </c>
    </row>
    <row r="66" customFormat="false" ht="15" hidden="false" customHeight="false" outlineLevel="0" collapsed="false">
      <c r="A66" s="4" t="s">
        <v>164</v>
      </c>
      <c r="B66" s="5" t="s">
        <v>227</v>
      </c>
      <c r="C66" s="6" t="s">
        <v>166</v>
      </c>
      <c r="D66" s="7" t="n">
        <v>629</v>
      </c>
      <c r="E66" s="8" t="n">
        <f aca="false">IF(D66="","",IF(D66&lt;Параметры!$B$4,CEILING(D66*Параметры!$B$5,100)-10,IF(D66&lt;=Параметры!$B$6,CEILING(D66*Параметры!$B$7,100)-10,CEILING(D66*Параметры!$B$8,100)-10)))</f>
        <v>1290</v>
      </c>
      <c r="F66" s="8" t="n">
        <f aca="false">IF(D66="","",ROUND(E66*(1-Параметры!$B$9-Параметры!$B$10-Параметры!$B$11)-D66,0))</f>
        <v>474</v>
      </c>
      <c r="G66" s="9" t="s">
        <v>228</v>
      </c>
      <c r="H66" s="9" t="s">
        <v>138</v>
      </c>
      <c r="I66" s="9" t="s">
        <v>138</v>
      </c>
      <c r="J66" s="9"/>
      <c r="K66" s="7" t="n">
        <v>112</v>
      </c>
      <c r="L66" s="10" t="n">
        <v>4.4</v>
      </c>
      <c r="M66" s="11" t="s">
        <v>27</v>
      </c>
      <c r="N66" s="6" t="s">
        <v>229</v>
      </c>
      <c r="O66" s="12"/>
      <c r="P66" s="9" t="str">
        <f aca="false">IF(COUNTIFS($G$5:$G$66,G66,$H$5:$H$66,H66,$I$5:$I$66,I66,$C$5:$C$66,C66)&gt;1,"повтор","")</f>
        <v/>
      </c>
      <c r="Q66" s="9" t="str">
        <f aca="false">IF(C66&lt;&gt;"1:24","",IF(D66="","проверить",IF(D66&lt;=Параметры!$B$12,"ок","дороже лимита")))</f>
        <v/>
      </c>
      <c r="R66" s="13" t="s">
        <v>169</v>
      </c>
    </row>
    <row r="68" customFormat="false" ht="15" hidden="false" customHeight="false" outlineLevel="0" collapsed="false">
      <c r="A68" s="18" t="s">
        <v>230</v>
      </c>
    </row>
    <row r="69" customFormat="false" ht="15" hidden="false" customHeight="false" outlineLevel="0" collapsed="false">
      <c r="A69" s="19" t="s">
        <v>231</v>
      </c>
      <c r="B69" s="20" t="n">
        <f aca="false">COUNTA(B5:B66)</f>
        <v>62</v>
      </c>
    </row>
    <row r="70" customFormat="false" ht="15" hidden="false" customHeight="false" outlineLevel="0" collapsed="false">
      <c r="A70" s="19" t="s">
        <v>21</v>
      </c>
      <c r="B70" s="20" t="n">
        <f aca="false">COUNTIF($A$5:$A$66,"Модели 1:43 — сезон 2025")</f>
        <v>16</v>
      </c>
    </row>
    <row r="71" customFormat="false" ht="15" hidden="false" customHeight="false" outlineLevel="0" collapsed="false">
      <c r="A71" s="19" t="s">
        <v>82</v>
      </c>
      <c r="B71" s="20" t="n">
        <f aca="false">COUNTIF($A$5:$A$66,"Модели 1:43 — новинки 2026")</f>
        <v>4</v>
      </c>
    </row>
    <row r="72" customFormat="false" ht="15" hidden="false" customHeight="false" outlineLevel="0" collapsed="false">
      <c r="A72" s="19" t="s">
        <v>94</v>
      </c>
      <c r="B72" s="20" t="n">
        <f aca="false">COUNTIF($A$5:$A$66,"Модели 1:24")</f>
        <v>12</v>
      </c>
    </row>
    <row r="73" customFormat="false" ht="15" hidden="false" customHeight="false" outlineLevel="0" collapsed="false">
      <c r="A73" s="19" t="s">
        <v>136</v>
      </c>
      <c r="B73" s="20" t="n">
        <f aca="false">COUNTIF($A$5:$A$66,"Конструкторы — лицензия CaDA")</f>
        <v>2</v>
      </c>
    </row>
    <row r="74" customFormat="false" ht="15" hidden="false" customHeight="false" outlineLevel="0" collapsed="false">
      <c r="A74" s="19" t="s">
        <v>145</v>
      </c>
      <c r="B74" s="20" t="n">
        <f aca="false">COUNTIF($A$5:$A$66,"Конструкторы — реплика")</f>
        <v>7</v>
      </c>
    </row>
    <row r="75" customFormat="false" ht="15" hidden="false" customHeight="false" outlineLevel="0" collapsed="false">
      <c r="A75" s="19" t="s">
        <v>164</v>
      </c>
      <c r="B75" s="20" t="n">
        <f aca="false">COUNTIF($A$5:$A$66,"Постеры")</f>
        <v>21</v>
      </c>
    </row>
    <row r="76" customFormat="false" ht="15" hidden="false" customHeight="false" outlineLevel="0" collapsed="false">
      <c r="A76" s="19" t="s">
        <v>232</v>
      </c>
      <c r="B76" s="20" t="n">
        <f aca="false">COUNTIF(P5:P66,"повтор")</f>
        <v>0</v>
      </c>
    </row>
    <row r="77" customFormat="false" ht="15" hidden="false" customHeight="false" outlineLevel="0" collapsed="false">
      <c r="A77" s="19" t="s">
        <v>233</v>
      </c>
      <c r="B77" s="20" t="n">
        <f aca="false">COUNTIF(Q5:Q66,"дороже лимита")</f>
        <v>2</v>
      </c>
    </row>
    <row r="78" customFormat="false" ht="15" hidden="false" customHeight="false" outlineLevel="0" collapsed="false">
      <c r="A78" s="19" t="s">
        <v>234</v>
      </c>
      <c r="B78" s="20" t="n">
        <f aca="false">IFERROR(ROUND(AVERAGE(F5:F66),0),"")</f>
        <v>776</v>
      </c>
    </row>
    <row r="79" customFormat="false" ht="15" hidden="false" customHeight="false" outlineLevel="0" collapsed="false">
      <c r="A79" s="19" t="s">
        <v>235</v>
      </c>
      <c r="B79" s="20" t="n">
        <f aca="false">IFERROR(ROUND(AVERAGEIFS(F5:F66,C5:C66,"1:43"),0),"")</f>
        <v>710</v>
      </c>
    </row>
    <row r="80" customFormat="false" ht="15" hidden="false" customHeight="false" outlineLevel="0" collapsed="false">
      <c r="A80" s="19" t="s">
        <v>236</v>
      </c>
      <c r="B80" s="20" t="n">
        <f aca="false">IFERROR(ROUND(AVERAGEIFS(F5:F66,C5:C66,"1:24",A5:A66,"Модели 1:24"),0),"")</f>
        <v>934</v>
      </c>
    </row>
  </sheetData>
  <autoFilter ref="A4:R66"/>
  <conditionalFormatting sqref="P5:Q66">
    <cfRule type="expression" priority="2" aboveAverage="0" equalAverage="0" bottom="0" percent="0" rank="0" text="" dxfId="7">
      <formula>OR(P5="повтор",Q5="дороже лимита")</formula>
    </cfRule>
  </conditionalFormatting>
  <hyperlinks>
    <hyperlink ref="M5" r:id="rId2" display="открыть"/>
    <hyperlink ref="M6" r:id="rId3" display="открыть"/>
    <hyperlink ref="M7" r:id="rId4" display="открыть"/>
    <hyperlink ref="M8" r:id="rId5" display="открыть"/>
    <hyperlink ref="M9" r:id="rId6" display="открыть"/>
    <hyperlink ref="M10" r:id="rId7" display="открыть"/>
    <hyperlink ref="M11" r:id="rId8" display="открыть"/>
    <hyperlink ref="M12" r:id="rId9" display="открыть"/>
    <hyperlink ref="M13" r:id="rId10" display="открыть"/>
    <hyperlink ref="M14" r:id="rId11" display="открыть"/>
    <hyperlink ref="M15" r:id="rId12" display="открыть"/>
    <hyperlink ref="M16" r:id="rId13" display="открыть"/>
    <hyperlink ref="M17" r:id="rId14" display="открыть"/>
    <hyperlink ref="M18" r:id="rId15" display="открыть"/>
    <hyperlink ref="M19" r:id="rId16" display="открыть"/>
    <hyperlink ref="M20" r:id="rId17" display="открыть"/>
    <hyperlink ref="M21" r:id="rId18" display="открыть"/>
    <hyperlink ref="M22" r:id="rId19" display="открыть"/>
    <hyperlink ref="M23" r:id="rId20" display="открыть"/>
    <hyperlink ref="M24" r:id="rId21" display="открыть"/>
    <hyperlink ref="M25" r:id="rId22" display="открыть"/>
    <hyperlink ref="M26" r:id="rId23" display="открыть"/>
    <hyperlink ref="M27" r:id="rId24" display="открыть"/>
    <hyperlink ref="M28" r:id="rId25" display="открыть"/>
    <hyperlink ref="M29" r:id="rId26" display="открыть"/>
    <hyperlink ref="M30" r:id="rId27" display="открыть"/>
    <hyperlink ref="M31" r:id="rId28" display="открыть"/>
    <hyperlink ref="M32" r:id="rId29" display="открыть"/>
    <hyperlink ref="M33" r:id="rId30" display="открыть"/>
    <hyperlink ref="M34" r:id="rId31" display="открыть"/>
    <hyperlink ref="M35" r:id="rId32" display="открыть"/>
    <hyperlink ref="M36" r:id="rId33" display="открыть"/>
    <hyperlink ref="M37" r:id="rId34" display="открыть"/>
    <hyperlink ref="M38" r:id="rId35" display="открыть"/>
    <hyperlink ref="M39" r:id="rId36" display="открыть"/>
    <hyperlink ref="M40" r:id="rId37" display="открыть"/>
    <hyperlink ref="M41" r:id="rId38" display="открыть"/>
    <hyperlink ref="M42" r:id="rId39" display="открыть"/>
    <hyperlink ref="M43" r:id="rId40" display="открыть"/>
    <hyperlink ref="M44" r:id="rId41" display="открыть"/>
    <hyperlink ref="M45" r:id="rId42" display="открыть"/>
    <hyperlink ref="M46" r:id="rId43" display="открыть"/>
    <hyperlink ref="M47" r:id="rId44" display="открыть"/>
    <hyperlink ref="M48" r:id="rId45" display="открыть"/>
    <hyperlink ref="M49" r:id="rId46" display="открыть"/>
    <hyperlink ref="M50" r:id="rId47" display="открыть"/>
    <hyperlink ref="M51" r:id="rId48" display="открыть"/>
    <hyperlink ref="M52" r:id="rId49" display="открыть"/>
    <hyperlink ref="M53" r:id="rId50" display="открыть"/>
    <hyperlink ref="M54" r:id="rId51" display="открыть"/>
    <hyperlink ref="M55" r:id="rId52" display="открыть"/>
    <hyperlink ref="M56" r:id="rId53" display="открыть"/>
    <hyperlink ref="M57" r:id="rId54" display="открыть"/>
    <hyperlink ref="M58" r:id="rId55" display="открыть"/>
    <hyperlink ref="M59" r:id="rId56" display="открыть"/>
    <hyperlink ref="M60" r:id="rId57" display="открыть"/>
    <hyperlink ref="M61" r:id="rId58" display="открыть"/>
    <hyperlink ref="M62" r:id="rId59" display="открыть"/>
    <hyperlink ref="M63" r:id="rId60" display="открыть"/>
    <hyperlink ref="M64" r:id="rId61" display="открыть"/>
    <hyperlink ref="M65" r:id="rId62" display="открыть"/>
    <hyperlink ref="M66" r:id="rId63" display="открыт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4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238</v>
      </c>
    </row>
    <row r="3" customFormat="false" ht="15" hidden="false" customHeight="false" outlineLevel="0" collapsed="false">
      <c r="A3" s="2" t="s">
        <v>239</v>
      </c>
    </row>
    <row r="4" customFormat="false" ht="30" hidden="false" customHeight="true" outlineLevel="0" collapsed="false">
      <c r="A4" s="3" t="s">
        <v>240</v>
      </c>
      <c r="B4" s="3" t="s">
        <v>241</v>
      </c>
      <c r="C4" s="3" t="s">
        <v>4</v>
      </c>
      <c r="D4" s="3" t="s">
        <v>242</v>
      </c>
      <c r="E4" s="3" t="s">
        <v>241</v>
      </c>
      <c r="F4" s="3" t="s">
        <v>6</v>
      </c>
      <c r="G4" s="3" t="s">
        <v>7</v>
      </c>
      <c r="H4" s="3" t="s">
        <v>8</v>
      </c>
      <c r="I4" s="3" t="s">
        <v>243</v>
      </c>
      <c r="J4" s="3" t="s">
        <v>14</v>
      </c>
      <c r="K4" s="3" t="s">
        <v>15</v>
      </c>
      <c r="L4" s="3" t="s">
        <v>20</v>
      </c>
    </row>
    <row r="5" customFormat="false" ht="15" hidden="false" customHeight="false" outlineLevel="0" collapsed="false">
      <c r="A5" s="9" t="n">
        <v>1</v>
      </c>
      <c r="B5" s="4" t="s">
        <v>244</v>
      </c>
      <c r="C5" s="5" t="s">
        <v>245</v>
      </c>
      <c r="D5" s="9" t="s">
        <v>246</v>
      </c>
      <c r="E5" s="9" t="s">
        <v>244</v>
      </c>
      <c r="F5" s="7" t="n">
        <v>792</v>
      </c>
      <c r="G5" s="8" t="n">
        <f aca="false">IF(F5="","",IF(F5&lt;Параметры!$B$4,CEILING(F5*Параметры!$B$5,100)-10,IF(F5&lt;=Параметры!$B$6,CEILING(F5*Параметры!$B$7,100)-10,CEILING(F5*Параметры!$B$8,100)-10)))</f>
        <v>1590</v>
      </c>
      <c r="H5" s="8" t="n">
        <f aca="false">IF(F5="","",ROUND(G5*(1-Параметры!$B$9-Параметры!$B$10-Параметры!$B$14)-F5,0))</f>
        <v>488</v>
      </c>
      <c r="I5" s="7" t="n">
        <v>752</v>
      </c>
      <c r="J5" s="10" t="n">
        <v>4.5</v>
      </c>
      <c r="K5" s="11" t="s">
        <v>27</v>
      </c>
      <c r="L5" s="13" t="s">
        <v>247</v>
      </c>
    </row>
    <row r="6" customFormat="false" ht="15" hidden="false" customHeight="false" outlineLevel="0" collapsed="false">
      <c r="A6" s="9" t="n">
        <v>2</v>
      </c>
      <c r="B6" s="4" t="s">
        <v>244</v>
      </c>
      <c r="C6" s="5" t="s">
        <v>248</v>
      </c>
      <c r="D6" s="9" t="s">
        <v>249</v>
      </c>
      <c r="E6" s="9" t="s">
        <v>244</v>
      </c>
      <c r="F6" s="15" t="n">
        <v>3705</v>
      </c>
      <c r="G6" s="8" t="n">
        <f aca="false">IF(F6="","",IF(F6&lt;Параметры!$B$4,CEILING(F6*Параметры!$B$5,100)-10,IF(F6&lt;=Параметры!$B$6,CEILING(F6*Параметры!$B$7,100)-10,CEILING(F6*Параметры!$B$8,100)-10)))</f>
        <v>5990</v>
      </c>
      <c r="H6" s="8" t="n">
        <f aca="false">IF(F6="","",ROUND(G6*(1-Параметры!$B$9-Параметры!$B$10-Параметры!$B$14)-F6,0))</f>
        <v>1117</v>
      </c>
      <c r="I6" s="15" t="n">
        <v>7</v>
      </c>
      <c r="J6" s="10"/>
      <c r="K6" s="11" t="s">
        <v>27</v>
      </c>
      <c r="L6" s="13" t="s">
        <v>250</v>
      </c>
    </row>
    <row r="7" customFormat="false" ht="15" hidden="false" customHeight="false" outlineLevel="0" collapsed="false">
      <c r="A7" s="9" t="n">
        <v>3</v>
      </c>
      <c r="B7" s="4" t="s">
        <v>244</v>
      </c>
      <c r="C7" s="5" t="s">
        <v>251</v>
      </c>
      <c r="D7" s="9" t="s">
        <v>252</v>
      </c>
      <c r="E7" s="9" t="s">
        <v>244</v>
      </c>
      <c r="F7" s="15" t="n">
        <v>1909</v>
      </c>
      <c r="G7" s="8" t="n">
        <f aca="false">IF(F7="","",IF(F7&lt;Параметры!$B$4,CEILING(F7*Параметры!$B$5,100)-10,IF(F7&lt;=Параметры!$B$6,CEILING(F7*Параметры!$B$7,100)-10,CEILING(F7*Параметры!$B$8,100)-10)))</f>
        <v>3090</v>
      </c>
      <c r="H7" s="8" t="n">
        <f aca="false">IF(F7="","",ROUND(G7*(1-Параметры!$B$9-Параметры!$B$10-Параметры!$B$14)-F7,0))</f>
        <v>578</v>
      </c>
      <c r="I7" s="15" t="n">
        <v>9</v>
      </c>
      <c r="J7" s="10"/>
      <c r="K7" s="11" t="s">
        <v>27</v>
      </c>
      <c r="L7" s="13" t="s">
        <v>253</v>
      </c>
    </row>
    <row r="8" customFormat="false" ht="15" hidden="false" customHeight="false" outlineLevel="0" collapsed="false">
      <c r="A8" s="9" t="n">
        <v>4</v>
      </c>
      <c r="B8" s="4" t="s">
        <v>254</v>
      </c>
      <c r="C8" s="5" t="s">
        <v>255</v>
      </c>
      <c r="D8" s="9" t="s">
        <v>246</v>
      </c>
      <c r="E8" s="9" t="s">
        <v>254</v>
      </c>
      <c r="F8" s="7" t="n">
        <v>773</v>
      </c>
      <c r="G8" s="8" t="n">
        <f aca="false">IF(F8="","",IF(F8&lt;Параметры!$B$4,CEILING(F8*Параметры!$B$5,100)-10,IF(F8&lt;=Параметры!$B$6,CEILING(F8*Параметры!$B$7,100)-10,CEILING(F8*Параметры!$B$8,100)-10)))</f>
        <v>1590</v>
      </c>
      <c r="H8" s="8" t="n">
        <f aca="false">IF(F8="","",ROUND(G8*(1-Параметры!$B$9-Параметры!$B$10-Параметры!$B$14)-F8,0))</f>
        <v>507</v>
      </c>
      <c r="I8" s="7" t="n">
        <v>63</v>
      </c>
      <c r="J8" s="10" t="n">
        <v>4.8</v>
      </c>
      <c r="K8" s="11" t="s">
        <v>27</v>
      </c>
      <c r="L8" s="13" t="s">
        <v>256</v>
      </c>
    </row>
    <row r="9" customFormat="false" ht="15" hidden="false" customHeight="false" outlineLevel="0" collapsed="false">
      <c r="A9" s="9" t="n">
        <v>5</v>
      </c>
      <c r="B9" s="4" t="s">
        <v>254</v>
      </c>
      <c r="C9" s="5" t="s">
        <v>257</v>
      </c>
      <c r="D9" s="9" t="s">
        <v>246</v>
      </c>
      <c r="E9" s="9" t="s">
        <v>254</v>
      </c>
      <c r="F9" s="7" t="n">
        <v>1342</v>
      </c>
      <c r="G9" s="8" t="n">
        <f aca="false">IF(F9="","",IF(F9&lt;Параметры!$B$4,CEILING(F9*Параметры!$B$5,100)-10,IF(F9&lt;=Параметры!$B$6,CEILING(F9*Параметры!$B$7,100)-10,CEILING(F9*Параметры!$B$8,100)-10)))</f>
        <v>2690</v>
      </c>
      <c r="H9" s="8" t="n">
        <f aca="false">IF(F9="","",ROUND(G9*(1-Параметры!$B$9-Параметры!$B$10-Параметры!$B$14)-F9,0))</f>
        <v>823</v>
      </c>
      <c r="I9" s="7" t="n">
        <v>78</v>
      </c>
      <c r="J9" s="17" t="n">
        <v>4.1</v>
      </c>
      <c r="K9" s="11" t="s">
        <v>27</v>
      </c>
      <c r="L9" s="13" t="s">
        <v>258</v>
      </c>
    </row>
    <row r="10" customFormat="false" ht="15" hidden="false" customHeight="false" outlineLevel="0" collapsed="false">
      <c r="A10" s="9" t="n">
        <v>6</v>
      </c>
      <c r="B10" s="4" t="s">
        <v>254</v>
      </c>
      <c r="C10" s="5" t="s">
        <v>259</v>
      </c>
      <c r="D10" s="9" t="s">
        <v>252</v>
      </c>
      <c r="E10" s="9" t="s">
        <v>254</v>
      </c>
      <c r="F10" s="15" t="n">
        <v>670</v>
      </c>
      <c r="G10" s="8" t="n">
        <f aca="false">IF(F10="","",IF(F10&lt;Параметры!$B$4,CEILING(F10*Параметры!$B$5,100)-10,IF(F10&lt;=Параметры!$B$6,CEILING(F10*Параметры!$B$7,100)-10,CEILING(F10*Параметры!$B$8,100)-10)))</f>
        <v>1390</v>
      </c>
      <c r="H10" s="8" t="n">
        <f aca="false">IF(F10="","",ROUND(G10*(1-Параметры!$B$9-Параметры!$B$10-Параметры!$B$14)-F10,0))</f>
        <v>449</v>
      </c>
      <c r="I10" s="15" t="n">
        <v>10</v>
      </c>
      <c r="J10" s="10"/>
      <c r="K10" s="11" t="s">
        <v>27</v>
      </c>
      <c r="L10" s="13" t="s">
        <v>260</v>
      </c>
    </row>
    <row r="11" customFormat="false" ht="15" hidden="false" customHeight="false" outlineLevel="0" collapsed="false">
      <c r="A11" s="9" t="n">
        <v>7</v>
      </c>
      <c r="B11" s="4" t="s">
        <v>261</v>
      </c>
      <c r="C11" s="5" t="s">
        <v>262</v>
      </c>
      <c r="D11" s="9" t="s">
        <v>246</v>
      </c>
      <c r="E11" s="9" t="s">
        <v>263</v>
      </c>
      <c r="F11" s="15" t="n">
        <v>1376</v>
      </c>
      <c r="G11" s="8" t="n">
        <f aca="false">IF(F11="","",IF(F11&lt;Параметры!$B$4,CEILING(F11*Параметры!$B$5,100)-10,IF(F11&lt;=Параметры!$B$6,CEILING(F11*Параметры!$B$7,100)-10,CEILING(F11*Параметры!$B$8,100)-10)))</f>
        <v>2790</v>
      </c>
      <c r="H11" s="8" t="n">
        <f aca="false">IF(F11="","",ROUND(G11*(1-Параметры!$B$9-Параметры!$B$10-Параметры!$B$14)-F11,0))</f>
        <v>870</v>
      </c>
      <c r="I11" s="15" t="n">
        <v>22</v>
      </c>
      <c r="J11" s="10"/>
      <c r="K11" s="11" t="s">
        <v>27</v>
      </c>
      <c r="L11" s="13" t="s">
        <v>264</v>
      </c>
    </row>
    <row r="12" customFormat="false" ht="15" hidden="false" customHeight="false" outlineLevel="0" collapsed="false">
      <c r="A12" s="9" t="n">
        <v>8</v>
      </c>
      <c r="B12" s="4" t="s">
        <v>261</v>
      </c>
      <c r="C12" s="5" t="s">
        <v>265</v>
      </c>
      <c r="D12" s="9" t="s">
        <v>252</v>
      </c>
      <c r="E12" s="9" t="s">
        <v>263</v>
      </c>
      <c r="F12" s="15" t="n">
        <v>1932</v>
      </c>
      <c r="G12" s="8" t="n">
        <f aca="false">IF(F12="","",IF(F12&lt;Параметры!$B$4,CEILING(F12*Параметры!$B$5,100)-10,IF(F12&lt;=Параметры!$B$6,CEILING(F12*Параметры!$B$7,100)-10,CEILING(F12*Параметры!$B$8,100)-10)))</f>
        <v>3090</v>
      </c>
      <c r="H12" s="8" t="n">
        <f aca="false">IF(F12="","",ROUND(G12*(1-Параметры!$B$9-Параметры!$B$10-Параметры!$B$14)-F12,0))</f>
        <v>555</v>
      </c>
      <c r="I12" s="15" t="n">
        <v>4</v>
      </c>
      <c r="J12" s="10"/>
      <c r="K12" s="11" t="s">
        <v>27</v>
      </c>
      <c r="L12" s="13" t="s">
        <v>266</v>
      </c>
    </row>
    <row r="13" customFormat="false" ht="15" hidden="false" customHeight="false" outlineLevel="0" collapsed="false">
      <c r="A13" s="9" t="n">
        <v>9</v>
      </c>
      <c r="B13" s="4" t="s">
        <v>267</v>
      </c>
      <c r="C13" s="5" t="s">
        <v>268</v>
      </c>
      <c r="D13" s="9" t="s">
        <v>246</v>
      </c>
      <c r="E13" s="9" t="s">
        <v>267</v>
      </c>
      <c r="F13" s="15" t="n">
        <v>1661</v>
      </c>
      <c r="G13" s="8" t="n">
        <f aca="false">IF(F13="","",IF(F13&lt;Параметры!$B$4,CEILING(F13*Параметры!$B$5,100)-10,IF(F13&lt;=Параметры!$B$6,CEILING(F13*Параметры!$B$7,100)-10,CEILING(F13*Параметры!$B$8,100)-10)))</f>
        <v>2690</v>
      </c>
      <c r="H13" s="8" t="n">
        <f aca="false">IF(F13="","",ROUND(G13*(1-Параметры!$B$9-Параметры!$B$10-Параметры!$B$14)-F13,0))</f>
        <v>504</v>
      </c>
      <c r="I13" s="7" t="n">
        <v>76</v>
      </c>
      <c r="J13" s="10"/>
      <c r="K13" s="11" t="s">
        <v>27</v>
      </c>
      <c r="L13" s="13" t="s">
        <v>269</v>
      </c>
    </row>
    <row r="14" customFormat="false" ht="15" hidden="false" customHeight="false" outlineLevel="0" collapsed="false">
      <c r="A14" s="9" t="n">
        <v>10</v>
      </c>
      <c r="B14" s="4" t="s">
        <v>267</v>
      </c>
      <c r="C14" s="5" t="s">
        <v>270</v>
      </c>
      <c r="D14" s="9" t="s">
        <v>249</v>
      </c>
      <c r="E14" s="9" t="s">
        <v>267</v>
      </c>
      <c r="F14" s="7" t="n">
        <v>2656</v>
      </c>
      <c r="G14" s="8" t="n">
        <f aca="false">IF(F14="","",IF(F14&lt;Параметры!$B$4,CEILING(F14*Параметры!$B$5,100)-10,IF(F14&lt;=Параметры!$B$6,CEILING(F14*Параметры!$B$7,100)-10,CEILING(F14*Параметры!$B$8,100)-10)))</f>
        <v>4290</v>
      </c>
      <c r="H14" s="8" t="n">
        <f aca="false">IF(F14="","",ROUND(G14*(1-Параметры!$B$9-Параметры!$B$10-Параметры!$B$14)-F14,0))</f>
        <v>797</v>
      </c>
      <c r="I14" s="15" t="n">
        <v>14</v>
      </c>
      <c r="J14" s="10"/>
      <c r="K14" s="11" t="s">
        <v>27</v>
      </c>
      <c r="L14" s="13" t="s">
        <v>271</v>
      </c>
    </row>
    <row r="15" customFormat="false" ht="15" hidden="false" customHeight="false" outlineLevel="0" collapsed="false">
      <c r="A15" s="9" t="n">
        <v>11</v>
      </c>
      <c r="B15" s="4" t="s">
        <v>272</v>
      </c>
      <c r="C15" s="5" t="s">
        <v>273</v>
      </c>
      <c r="D15" s="9" t="s">
        <v>252</v>
      </c>
      <c r="E15" s="9" t="s">
        <v>272</v>
      </c>
      <c r="F15" s="15" t="n">
        <v>986</v>
      </c>
      <c r="G15" s="8" t="n">
        <f aca="false">IF(F15="","",IF(F15&lt;Параметры!$B$4,CEILING(F15*Параметры!$B$5,100)-10,IF(F15&lt;=Параметры!$B$6,CEILING(F15*Параметры!$B$7,100)-10,CEILING(F15*Параметры!$B$8,100)-10)))</f>
        <v>1990</v>
      </c>
      <c r="H15" s="8" t="n">
        <f aca="false">IF(F15="","",ROUND(G15*(1-Параметры!$B$9-Параметры!$B$10-Параметры!$B$14)-F15,0))</f>
        <v>616</v>
      </c>
      <c r="I15" s="7" t="n">
        <v>500</v>
      </c>
      <c r="J15" s="10" t="n">
        <v>4.8</v>
      </c>
      <c r="K15" s="11" t="s">
        <v>27</v>
      </c>
      <c r="L15" s="13" t="s">
        <v>274</v>
      </c>
    </row>
    <row r="16" customFormat="false" ht="15" hidden="false" customHeight="false" outlineLevel="0" collapsed="false">
      <c r="A16" s="9" t="n">
        <v>12</v>
      </c>
      <c r="B16" s="4" t="s">
        <v>272</v>
      </c>
      <c r="C16" s="5" t="s">
        <v>275</v>
      </c>
      <c r="D16" s="9" t="s">
        <v>246</v>
      </c>
      <c r="E16" s="9" t="s">
        <v>272</v>
      </c>
      <c r="F16" s="7" t="n">
        <v>726</v>
      </c>
      <c r="G16" s="8" t="n">
        <f aca="false">IF(F16="","",IF(F16&lt;Параметры!$B$4,CEILING(F16*Параметры!$B$5,100)-10,IF(F16&lt;=Параметры!$B$6,CEILING(F16*Параметры!$B$7,100)-10,CEILING(F16*Параметры!$B$8,100)-10)))</f>
        <v>1490</v>
      </c>
      <c r="H16" s="8" t="n">
        <f aca="false">IF(F16="","",ROUND(G16*(1-Параметры!$B$9-Параметры!$B$10-Параметры!$B$14)-F16,0))</f>
        <v>473</v>
      </c>
      <c r="I16" s="7" t="n">
        <v>194</v>
      </c>
      <c r="J16" s="17" t="n">
        <v>4.2</v>
      </c>
      <c r="K16" s="11" t="s">
        <v>27</v>
      </c>
      <c r="L16" s="13" t="s">
        <v>276</v>
      </c>
    </row>
    <row r="17" customFormat="false" ht="15" hidden="false" customHeight="false" outlineLevel="0" collapsed="false">
      <c r="A17" s="9" t="n">
        <v>13</v>
      </c>
      <c r="B17" s="4" t="s">
        <v>277</v>
      </c>
      <c r="C17" s="5" t="s">
        <v>278</v>
      </c>
      <c r="D17" s="9" t="s">
        <v>246</v>
      </c>
      <c r="E17" s="9" t="s">
        <v>277</v>
      </c>
      <c r="F17" s="15" t="n">
        <v>738</v>
      </c>
      <c r="G17" s="8" t="n">
        <f aca="false">IF(F17="","",IF(F17&lt;Параметры!$B$4,CEILING(F17*Параметры!$B$5,100)-10,IF(F17&lt;=Параметры!$B$6,CEILING(F17*Параметры!$B$7,100)-10,CEILING(F17*Параметры!$B$8,100)-10)))</f>
        <v>1490</v>
      </c>
      <c r="H17" s="8" t="n">
        <f aca="false">IF(F17="","",ROUND(G17*(1-Параметры!$B$9-Параметры!$B$10-Параметры!$B$14)-F17,0))</f>
        <v>461</v>
      </c>
      <c r="I17" s="7" t="n">
        <v>104</v>
      </c>
      <c r="J17" s="17" t="n">
        <v>4.3</v>
      </c>
      <c r="K17" s="11" t="s">
        <v>27</v>
      </c>
      <c r="L17" s="13" t="s">
        <v>279</v>
      </c>
    </row>
    <row r="18" customFormat="false" ht="15" hidden="false" customHeight="false" outlineLevel="0" collapsed="false">
      <c r="A18" s="9" t="n">
        <v>14</v>
      </c>
      <c r="B18" s="4" t="s">
        <v>277</v>
      </c>
      <c r="C18" s="5" t="s">
        <v>280</v>
      </c>
      <c r="D18" s="9" t="s">
        <v>246</v>
      </c>
      <c r="E18" s="9" t="s">
        <v>277</v>
      </c>
      <c r="F18" s="15" t="n">
        <v>1119</v>
      </c>
      <c r="G18" s="8" t="n">
        <f aca="false">IF(F18="","",IF(F18&lt;Параметры!$B$4,CEILING(F18*Параметры!$B$5,100)-10,IF(F18&lt;=Параметры!$B$6,CEILING(F18*Параметры!$B$7,100)-10,CEILING(F18*Параметры!$B$8,100)-10)))</f>
        <v>2290</v>
      </c>
      <c r="H18" s="8" t="n">
        <f aca="false">IF(F18="","",ROUND(G18*(1-Параметры!$B$9-Параметры!$B$10-Параметры!$B$14)-F18,0))</f>
        <v>724</v>
      </c>
      <c r="I18" s="7" t="n">
        <v>121</v>
      </c>
      <c r="J18" s="17" t="n">
        <v>4.1</v>
      </c>
      <c r="K18" s="11" t="s">
        <v>27</v>
      </c>
      <c r="L18" s="13" t="s">
        <v>281</v>
      </c>
    </row>
    <row r="19" customFormat="false" ht="15" hidden="false" customHeight="false" outlineLevel="0" collapsed="false">
      <c r="A19" s="9" t="n">
        <v>15</v>
      </c>
      <c r="B19" s="4" t="s">
        <v>277</v>
      </c>
      <c r="C19" s="5" t="s">
        <v>282</v>
      </c>
      <c r="D19" s="9" t="s">
        <v>252</v>
      </c>
      <c r="E19" s="9" t="s">
        <v>277</v>
      </c>
      <c r="F19" s="15" t="n">
        <v>710</v>
      </c>
      <c r="G19" s="8" t="n">
        <f aca="false">IF(F19="","",IF(F19&lt;Параметры!$B$4,CEILING(F19*Параметры!$B$5,100)-10,IF(F19&lt;=Параметры!$B$6,CEILING(F19*Параметры!$B$7,100)-10,CEILING(F19*Параметры!$B$8,100)-10)))</f>
        <v>1490</v>
      </c>
      <c r="H19" s="8" t="n">
        <f aca="false">IF(F19="","",ROUND(G19*(1-Параметры!$B$9-Параметры!$B$10-Параметры!$B$14)-F19,0))</f>
        <v>489</v>
      </c>
      <c r="I19" s="7" t="n">
        <v>88</v>
      </c>
      <c r="J19" s="17" t="n">
        <v>4.3</v>
      </c>
      <c r="K19" s="11" t="s">
        <v>27</v>
      </c>
      <c r="L19" s="13" t="s">
        <v>283</v>
      </c>
    </row>
    <row r="20" customFormat="false" ht="15" hidden="false" customHeight="false" outlineLevel="0" collapsed="false">
      <c r="A20" s="9" t="n">
        <v>16</v>
      </c>
      <c r="B20" s="4" t="s">
        <v>284</v>
      </c>
      <c r="C20" s="5" t="s">
        <v>285</v>
      </c>
      <c r="D20" s="9" t="s">
        <v>246</v>
      </c>
      <c r="E20" s="9" t="s">
        <v>284</v>
      </c>
      <c r="F20" s="7" t="n">
        <v>782</v>
      </c>
      <c r="G20" s="8" t="n">
        <f aca="false">IF(F20="","",IF(F20&lt;Параметры!$B$4,CEILING(F20*Параметры!$B$5,100)-10,IF(F20&lt;=Параметры!$B$6,CEILING(F20*Параметры!$B$7,100)-10,CEILING(F20*Параметры!$B$8,100)-10)))</f>
        <v>1590</v>
      </c>
      <c r="H20" s="8" t="n">
        <f aca="false">IF(F20="","",ROUND(G20*(1-Параметры!$B$9-Параметры!$B$10-Параметры!$B$14)-F20,0))</f>
        <v>498</v>
      </c>
      <c r="I20" s="7" t="n">
        <v>131</v>
      </c>
      <c r="J20" s="10"/>
      <c r="K20" s="11" t="s">
        <v>27</v>
      </c>
      <c r="L20" s="13" t="s">
        <v>286</v>
      </c>
    </row>
    <row r="21" customFormat="false" ht="15" hidden="false" customHeight="false" outlineLevel="0" collapsed="false">
      <c r="A21" s="9" t="n">
        <v>17</v>
      </c>
      <c r="B21" s="4" t="s">
        <v>287</v>
      </c>
      <c r="C21" s="5" t="s">
        <v>288</v>
      </c>
      <c r="D21" s="9" t="s">
        <v>249</v>
      </c>
      <c r="E21" s="9" t="s">
        <v>287</v>
      </c>
      <c r="F21" s="7" t="n">
        <v>1753</v>
      </c>
      <c r="G21" s="8" t="n">
        <f aca="false">IF(F21="","",IF(F21&lt;Параметры!$B$4,CEILING(F21*Параметры!$B$5,100)-10,IF(F21&lt;=Параметры!$B$6,CEILING(F21*Параметры!$B$7,100)-10,CEILING(F21*Параметры!$B$8,100)-10)))</f>
        <v>2890</v>
      </c>
      <c r="H21" s="8" t="n">
        <f aca="false">IF(F21="","",ROUND(G21*(1-Параметры!$B$9-Параметры!$B$10-Параметры!$B$14)-F21,0))</f>
        <v>573</v>
      </c>
      <c r="I21" s="15" t="n">
        <v>4</v>
      </c>
      <c r="J21" s="10"/>
      <c r="K21" s="11" t="s">
        <v>27</v>
      </c>
      <c r="L21" s="13" t="s">
        <v>289</v>
      </c>
    </row>
    <row r="22" customFormat="false" ht="15" hidden="false" customHeight="false" outlineLevel="0" collapsed="false">
      <c r="A22" s="9" t="n">
        <v>18</v>
      </c>
      <c r="B22" s="4" t="s">
        <v>244</v>
      </c>
      <c r="C22" s="5" t="s">
        <v>290</v>
      </c>
      <c r="D22" s="9" t="s">
        <v>246</v>
      </c>
      <c r="E22" s="9" t="s">
        <v>244</v>
      </c>
      <c r="F22" s="15" t="n">
        <v>1331</v>
      </c>
      <c r="G22" s="8" t="n">
        <f aca="false">IF(F22="","",IF(F22&lt;Параметры!$B$4,CEILING(F22*Параметры!$B$5,100)-10,IF(F22&lt;=Параметры!$B$6,CEILING(F22*Параметры!$B$7,100)-10,CEILING(F22*Параметры!$B$8,100)-10)))</f>
        <v>2690</v>
      </c>
      <c r="H22" s="8" t="n">
        <f aca="false">IF(F22="","",ROUND(G22*(1-Параметры!$B$9-Параметры!$B$10-Параметры!$B$14)-F22,0))</f>
        <v>834</v>
      </c>
      <c r="I22" s="15" t="n">
        <v>32</v>
      </c>
      <c r="J22" s="10"/>
      <c r="K22" s="11" t="s">
        <v>27</v>
      </c>
      <c r="L22" s="13" t="s">
        <v>291</v>
      </c>
    </row>
    <row r="23" customFormat="false" ht="15" hidden="false" customHeight="false" outlineLevel="0" collapsed="false">
      <c r="A23" s="9" t="n">
        <v>19</v>
      </c>
      <c r="B23" s="4" t="s">
        <v>244</v>
      </c>
      <c r="C23" s="5" t="s">
        <v>292</v>
      </c>
      <c r="D23" s="9" t="s">
        <v>246</v>
      </c>
      <c r="E23" s="9" t="s">
        <v>244</v>
      </c>
      <c r="F23" s="15" t="n">
        <v>2027</v>
      </c>
      <c r="G23" s="8" t="n">
        <f aca="false">IF(F23="","",IF(F23&lt;Параметры!$B$4,CEILING(F23*Параметры!$B$5,100)-10,IF(F23&lt;=Параметры!$B$6,CEILING(F23*Параметры!$B$7,100)-10,CEILING(F23*Параметры!$B$8,100)-10)))</f>
        <v>3290</v>
      </c>
      <c r="H23" s="8" t="n">
        <f aca="false">IF(F23="","",ROUND(G23*(1-Параметры!$B$9-Параметры!$B$10-Параметры!$B$14)-F23,0))</f>
        <v>621</v>
      </c>
      <c r="I23" s="15" t="n">
        <v>11</v>
      </c>
      <c r="J23" s="10"/>
      <c r="K23" s="11" t="s">
        <v>27</v>
      </c>
      <c r="L23" s="13" t="s">
        <v>293</v>
      </c>
    </row>
    <row r="24" customFormat="false" ht="15" hidden="false" customHeight="false" outlineLevel="0" collapsed="false">
      <c r="A24" s="9" t="n">
        <v>20</v>
      </c>
      <c r="B24" s="4" t="s">
        <v>244</v>
      </c>
      <c r="C24" s="5" t="s">
        <v>294</v>
      </c>
      <c r="D24" s="9" t="s">
        <v>246</v>
      </c>
      <c r="E24" s="9" t="s">
        <v>244</v>
      </c>
      <c r="F24" s="15" t="n">
        <v>2027</v>
      </c>
      <c r="G24" s="8" t="n">
        <f aca="false">IF(F24="","",IF(F24&lt;Параметры!$B$4,CEILING(F24*Параметры!$B$5,100)-10,IF(F24&lt;=Параметры!$B$6,CEILING(F24*Параметры!$B$7,100)-10,CEILING(F24*Параметры!$B$8,100)-10)))</f>
        <v>3290</v>
      </c>
      <c r="H24" s="8" t="n">
        <f aca="false">IF(F24="","",ROUND(G24*(1-Параметры!$B$9-Параметры!$B$10-Параметры!$B$14)-F24,0))</f>
        <v>621</v>
      </c>
      <c r="I24" s="15" t="n">
        <v>9</v>
      </c>
      <c r="J24" s="10"/>
      <c r="K24" s="11" t="s">
        <v>27</v>
      </c>
      <c r="L24" s="13" t="s">
        <v>295</v>
      </c>
    </row>
    <row r="25" customFormat="false" ht="15" hidden="false" customHeight="false" outlineLevel="0" collapsed="false">
      <c r="A25" s="9" t="n">
        <v>21</v>
      </c>
      <c r="B25" s="4" t="s">
        <v>244</v>
      </c>
      <c r="C25" s="5" t="s">
        <v>296</v>
      </c>
      <c r="D25" s="9" t="s">
        <v>252</v>
      </c>
      <c r="E25" s="9" t="s">
        <v>244</v>
      </c>
      <c r="F25" s="15" t="n">
        <v>1927</v>
      </c>
      <c r="G25" s="8" t="n">
        <f aca="false">IF(F25="","",IF(F25&lt;Параметры!$B$4,CEILING(F25*Параметры!$B$5,100)-10,IF(F25&lt;=Параметры!$B$6,CEILING(F25*Параметры!$B$7,100)-10,CEILING(F25*Параметры!$B$8,100)-10)))</f>
        <v>3090</v>
      </c>
      <c r="H25" s="8" t="n">
        <f aca="false">IF(F25="","",ROUND(G25*(1-Параметры!$B$9-Параметры!$B$10-Параметры!$B$14)-F25,0))</f>
        <v>560</v>
      </c>
      <c r="I25" s="15" t="n">
        <v>4</v>
      </c>
      <c r="J25" s="10"/>
      <c r="K25" s="11" t="s">
        <v>27</v>
      </c>
      <c r="L25" s="13" t="s">
        <v>297</v>
      </c>
    </row>
    <row r="26" customFormat="false" ht="15" hidden="false" customHeight="false" outlineLevel="0" collapsed="false">
      <c r="A26" s="9" t="n">
        <v>22</v>
      </c>
      <c r="B26" s="4" t="s">
        <v>261</v>
      </c>
      <c r="C26" s="5" t="s">
        <v>298</v>
      </c>
      <c r="D26" s="9" t="s">
        <v>246</v>
      </c>
      <c r="E26" s="9" t="s">
        <v>263</v>
      </c>
      <c r="F26" s="15" t="n">
        <v>1820</v>
      </c>
      <c r="G26" s="8" t="n">
        <f aca="false">IF(F26="","",IF(F26&lt;Параметры!$B$4,CEILING(F26*Параметры!$B$5,100)-10,IF(F26&lt;=Параметры!$B$6,CEILING(F26*Параметры!$B$7,100)-10,CEILING(F26*Параметры!$B$8,100)-10)))</f>
        <v>2990</v>
      </c>
      <c r="H26" s="8" t="n">
        <f aca="false">IF(F26="","",ROUND(G26*(1-Параметры!$B$9-Параметры!$B$10-Параметры!$B$14)-F26,0))</f>
        <v>587</v>
      </c>
      <c r="I26" s="15" t="n">
        <v>42</v>
      </c>
      <c r="J26" s="10"/>
      <c r="K26" s="11" t="s">
        <v>27</v>
      </c>
      <c r="L26" s="13" t="s">
        <v>299</v>
      </c>
    </row>
    <row r="27" customFormat="false" ht="15" hidden="false" customHeight="false" outlineLevel="0" collapsed="false">
      <c r="A27" s="9" t="n">
        <v>23</v>
      </c>
      <c r="B27" s="4" t="s">
        <v>261</v>
      </c>
      <c r="C27" s="5" t="s">
        <v>300</v>
      </c>
      <c r="D27" s="9" t="s">
        <v>252</v>
      </c>
      <c r="E27" s="9" t="s">
        <v>263</v>
      </c>
      <c r="F27" s="15" t="n">
        <v>588</v>
      </c>
      <c r="G27" s="8" t="n">
        <f aca="false">IF(F27="","",IF(F27&lt;Параметры!$B$4,CEILING(F27*Параметры!$B$5,100)-10,IF(F27&lt;=Параметры!$B$6,CEILING(F27*Параметры!$B$7,100)-10,CEILING(F27*Параметры!$B$8,100)-10)))</f>
        <v>1190</v>
      </c>
      <c r="H27" s="8" t="n">
        <f aca="false">IF(F27="","",ROUND(G27*(1-Параметры!$B$9-Параметры!$B$10-Параметры!$B$14)-F27,0))</f>
        <v>370</v>
      </c>
      <c r="I27" s="15" t="n">
        <v>33</v>
      </c>
      <c r="J27" s="10"/>
      <c r="K27" s="11" t="s">
        <v>27</v>
      </c>
      <c r="L27" s="13" t="s">
        <v>301</v>
      </c>
    </row>
    <row r="28" customFormat="false" ht="15" hidden="false" customHeight="false" outlineLevel="0" collapsed="false">
      <c r="A28" s="9" t="n">
        <v>24</v>
      </c>
      <c r="B28" s="4" t="s">
        <v>267</v>
      </c>
      <c r="C28" s="5" t="s">
        <v>302</v>
      </c>
      <c r="D28" s="9" t="s">
        <v>246</v>
      </c>
      <c r="E28" s="9" t="s">
        <v>267</v>
      </c>
      <c r="F28" s="7" t="n">
        <v>1083</v>
      </c>
      <c r="G28" s="8" t="n">
        <f aca="false">IF(F28="","",IF(F28&lt;Параметры!$B$4,CEILING(F28*Параметры!$B$5,100)-10,IF(F28&lt;=Параметры!$B$6,CEILING(F28*Параметры!$B$7,100)-10,CEILING(F28*Параметры!$B$8,100)-10)))</f>
        <v>2190</v>
      </c>
      <c r="H28" s="8" t="n">
        <f aca="false">IF(F28="","",ROUND(G28*(1-Параметры!$B$9-Параметры!$B$10-Параметры!$B$14)-F28,0))</f>
        <v>680</v>
      </c>
      <c r="I28" s="7" t="n">
        <v>96</v>
      </c>
      <c r="J28" s="17" t="n">
        <v>4.4</v>
      </c>
      <c r="K28" s="11" t="s">
        <v>27</v>
      </c>
      <c r="L28" s="13" t="s">
        <v>303</v>
      </c>
    </row>
    <row r="29" customFormat="false" ht="15" hidden="false" customHeight="false" outlineLevel="0" collapsed="false">
      <c r="A29" s="9" t="n">
        <v>25</v>
      </c>
      <c r="B29" s="4" t="s">
        <v>267</v>
      </c>
      <c r="C29" s="5" t="s">
        <v>304</v>
      </c>
      <c r="D29" s="9" t="s">
        <v>252</v>
      </c>
      <c r="E29" s="9" t="s">
        <v>267</v>
      </c>
      <c r="F29" s="7" t="n">
        <v>301</v>
      </c>
      <c r="G29" s="8" t="n">
        <f aca="false">IF(F29="","",IF(F29&lt;Параметры!$B$4,CEILING(F29*Параметры!$B$5,100)-10,IF(F29&lt;=Параметры!$B$6,CEILING(F29*Параметры!$B$7,100)-10,CEILING(F29*Параметры!$B$8,100)-10)))</f>
        <v>690</v>
      </c>
      <c r="H29" s="8" t="n">
        <f aca="false">IF(F29="","",ROUND(G29*(1-Параметры!$B$9-Параметры!$B$10-Параметры!$B$14)-F29,0))</f>
        <v>254</v>
      </c>
      <c r="I29" s="15" t="n">
        <v>6</v>
      </c>
      <c r="J29" s="10"/>
      <c r="K29" s="11" t="s">
        <v>27</v>
      </c>
      <c r="L29" s="13" t="s">
        <v>305</v>
      </c>
    </row>
    <row r="31" customFormat="false" ht="15" hidden="false" customHeight="false" outlineLevel="0" collapsed="false">
      <c r="A31" s="18" t="s">
        <v>230</v>
      </c>
    </row>
    <row r="32" customFormat="false" ht="15" hidden="false" customHeight="false" outlineLevel="0" collapsed="false">
      <c r="B32" s="19" t="s">
        <v>306</v>
      </c>
      <c r="C32" s="20" t="n">
        <f aca="false">COUNTA(C5:C29)</f>
        <v>25</v>
      </c>
    </row>
    <row r="33" customFormat="false" ht="15" hidden="false" customHeight="false" outlineLevel="0" collapsed="false">
      <c r="B33" s="19" t="s">
        <v>246</v>
      </c>
      <c r="C33" s="20" t="n">
        <f aca="false">COUNTIF($D$5:$D$29,"футболка")</f>
        <v>14</v>
      </c>
    </row>
    <row r="34" customFormat="false" ht="15" hidden="false" customHeight="false" outlineLevel="0" collapsed="false">
      <c r="B34" s="19" t="s">
        <v>249</v>
      </c>
      <c r="C34" s="20" t="n">
        <f aca="false">COUNTIF($D$5:$D$29,"кофта")</f>
        <v>3</v>
      </c>
    </row>
    <row r="35" customFormat="false" ht="15" hidden="false" customHeight="false" outlineLevel="0" collapsed="false">
      <c r="B35" s="19" t="s">
        <v>252</v>
      </c>
      <c r="C35" s="20" t="n">
        <f aca="false">COUNTIF($D$5:$D$29,"кепка")</f>
        <v>8</v>
      </c>
    </row>
    <row r="36" customFormat="false" ht="15" hidden="false" customHeight="false" outlineLevel="0" collapsed="false">
      <c r="B36" s="19" t="s">
        <v>307</v>
      </c>
      <c r="C36" s="20" t="n">
        <f aca="false">IFERROR(ROUND(AVERAGE($H$5:$H$29),0),"")</f>
        <v>602</v>
      </c>
    </row>
  </sheetData>
  <autoFilter ref="A4:L29"/>
  <hyperlinks>
    <hyperlink ref="K5" r:id="rId2" display="открыть"/>
    <hyperlink ref="K6" r:id="rId3" display="открыть"/>
    <hyperlink ref="K7" r:id="rId4" display="открыть"/>
    <hyperlink ref="K8" r:id="rId5" display="открыть"/>
    <hyperlink ref="K9" r:id="rId6" display="открыть"/>
    <hyperlink ref="K10" r:id="rId7" display="открыть"/>
    <hyperlink ref="K11" r:id="rId8" display="открыть"/>
    <hyperlink ref="K12" r:id="rId9" display="открыть"/>
    <hyperlink ref="K13" r:id="rId10" display="открыть"/>
    <hyperlink ref="K14" r:id="rId11" display="открыть"/>
    <hyperlink ref="K15" r:id="rId12" display="открыть"/>
    <hyperlink ref="K16" r:id="rId13" display="открыть"/>
    <hyperlink ref="K17" r:id="rId14" display="открыть"/>
    <hyperlink ref="K18" r:id="rId15" display="открыть"/>
    <hyperlink ref="K19" r:id="rId16" display="открыть"/>
    <hyperlink ref="K20" r:id="rId17" display="открыть"/>
    <hyperlink ref="K21" r:id="rId18" display="открыть"/>
    <hyperlink ref="K22" r:id="rId19" display="открыть"/>
    <hyperlink ref="K23" r:id="rId20" display="открыть"/>
    <hyperlink ref="K24" r:id="rId21" display="открыть"/>
    <hyperlink ref="K25" r:id="rId22" display="открыть"/>
    <hyperlink ref="K26" r:id="rId23" display="открыть"/>
    <hyperlink ref="K27" r:id="rId24" display="открыть"/>
    <hyperlink ref="K28" r:id="rId25" display="открыть"/>
    <hyperlink ref="K29" r:id="rId26" display="открыт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9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4" customFormat="false" ht="15" hidden="false" customHeight="false" outlineLevel="0" collapsed="false">
      <c r="A4" s="21" t="s">
        <v>242</v>
      </c>
      <c r="B4" s="21" t="s">
        <v>241</v>
      </c>
      <c r="C4" s="21" t="s">
        <v>310</v>
      </c>
      <c r="D4" s="21" t="s">
        <v>311</v>
      </c>
      <c r="E4" s="21" t="s">
        <v>312</v>
      </c>
      <c r="F4" s="21" t="s">
        <v>313</v>
      </c>
      <c r="G4" s="21" t="s">
        <v>243</v>
      </c>
      <c r="H4" s="21" t="s">
        <v>14</v>
      </c>
      <c r="I4" s="21" t="s">
        <v>15</v>
      </c>
      <c r="J4" s="21" t="s">
        <v>314</v>
      </c>
    </row>
    <row r="5" customFormat="false" ht="15" hidden="false" customHeight="false" outlineLevel="0" collapsed="false">
      <c r="A5" s="19" t="s">
        <v>252</v>
      </c>
      <c r="B5" s="19" t="s">
        <v>315</v>
      </c>
      <c r="C5" s="19" t="s">
        <v>316</v>
      </c>
      <c r="D5" s="19" t="s">
        <v>317</v>
      </c>
      <c r="E5" s="22" t="n">
        <v>1087</v>
      </c>
      <c r="F5" s="19" t="n">
        <v>1.09</v>
      </c>
      <c r="G5" s="22" t="n">
        <v>10000</v>
      </c>
      <c r="H5" s="19" t="n">
        <v>4.7</v>
      </c>
      <c r="I5" s="23" t="s">
        <v>27</v>
      </c>
      <c r="J5" s="19" t="s">
        <v>318</v>
      </c>
    </row>
    <row r="6" customFormat="false" ht="15" hidden="false" customHeight="false" outlineLevel="0" collapsed="false">
      <c r="A6" s="19" t="s">
        <v>246</v>
      </c>
      <c r="B6" s="19" t="s">
        <v>138</v>
      </c>
      <c r="C6" s="19" t="s">
        <v>319</v>
      </c>
      <c r="D6" s="19" t="s">
        <v>320</v>
      </c>
      <c r="E6" s="22" t="n">
        <v>1156</v>
      </c>
      <c r="F6" s="19" t="n">
        <v>1.28</v>
      </c>
      <c r="G6" s="22" t="n">
        <v>10000</v>
      </c>
      <c r="H6" s="19" t="n">
        <v>4.6</v>
      </c>
      <c r="I6" s="23" t="s">
        <v>27</v>
      </c>
      <c r="J6" s="19" t="s">
        <v>321</v>
      </c>
    </row>
    <row r="7" customFormat="false" ht="15" hidden="false" customHeight="false" outlineLevel="0" collapsed="false">
      <c r="A7" s="19" t="s">
        <v>246</v>
      </c>
      <c r="B7" s="19" t="s">
        <v>138</v>
      </c>
      <c r="C7" s="19" t="s">
        <v>319</v>
      </c>
      <c r="D7" s="19" t="s">
        <v>322</v>
      </c>
      <c r="E7" s="22" t="n">
        <v>1005</v>
      </c>
      <c r="F7" s="19"/>
      <c r="G7" s="22" t="n">
        <v>5000</v>
      </c>
      <c r="H7" s="19" t="n">
        <v>4.7</v>
      </c>
      <c r="I7" s="23" t="s">
        <v>27</v>
      </c>
      <c r="J7" s="19" t="s">
        <v>323</v>
      </c>
    </row>
    <row r="8" customFormat="false" ht="15" hidden="false" customHeight="false" outlineLevel="0" collapsed="false">
      <c r="A8" s="19" t="s">
        <v>246</v>
      </c>
      <c r="B8" s="19" t="s">
        <v>138</v>
      </c>
      <c r="C8" s="19" t="s">
        <v>319</v>
      </c>
      <c r="D8" s="19" t="s">
        <v>324</v>
      </c>
      <c r="E8" s="22" t="n">
        <v>994</v>
      </c>
      <c r="F8" s="19"/>
      <c r="G8" s="22" t="n">
        <v>5000</v>
      </c>
      <c r="H8" s="19" t="n">
        <v>4.7</v>
      </c>
      <c r="I8" s="23" t="s">
        <v>27</v>
      </c>
      <c r="J8" s="19" t="s">
        <v>323</v>
      </c>
    </row>
    <row r="9" customFormat="false" ht="15" hidden="false" customHeight="false" outlineLevel="0" collapsed="false">
      <c r="A9" s="19" t="s">
        <v>246</v>
      </c>
      <c r="B9" s="19" t="s">
        <v>138</v>
      </c>
      <c r="C9" s="19" t="s">
        <v>319</v>
      </c>
      <c r="D9" s="19" t="s">
        <v>325</v>
      </c>
      <c r="E9" s="22" t="n">
        <v>1201</v>
      </c>
      <c r="F9" s="19" t="n">
        <v>1.13</v>
      </c>
      <c r="G9" s="22" t="n">
        <v>5000</v>
      </c>
      <c r="H9" s="19" t="n">
        <v>4.7</v>
      </c>
      <c r="I9" s="23" t="s">
        <v>27</v>
      </c>
      <c r="J9" s="19" t="s">
        <v>326</v>
      </c>
    </row>
    <row r="10" customFormat="false" ht="15" hidden="false" customHeight="false" outlineLevel="0" collapsed="false">
      <c r="A10" s="19" t="s">
        <v>246</v>
      </c>
      <c r="B10" s="19" t="s">
        <v>138</v>
      </c>
      <c r="C10" s="19" t="s">
        <v>319</v>
      </c>
      <c r="D10" s="19" t="s">
        <v>327</v>
      </c>
      <c r="E10" s="22" t="n">
        <v>789</v>
      </c>
      <c r="F10" s="19" t="n">
        <v>3.37</v>
      </c>
      <c r="G10" s="22" t="n">
        <v>5000</v>
      </c>
      <c r="H10" s="19" t="n">
        <v>4.9</v>
      </c>
      <c r="I10" s="23" t="s">
        <v>27</v>
      </c>
      <c r="J10" s="19" t="s">
        <v>321</v>
      </c>
    </row>
    <row r="11" customFormat="false" ht="15" hidden="false" customHeight="false" outlineLevel="0" collapsed="false">
      <c r="A11" s="19" t="s">
        <v>246</v>
      </c>
      <c r="B11" s="19" t="s">
        <v>138</v>
      </c>
      <c r="C11" s="19" t="s">
        <v>319</v>
      </c>
      <c r="D11" s="19" t="s">
        <v>328</v>
      </c>
      <c r="E11" s="22" t="n">
        <v>1449</v>
      </c>
      <c r="F11" s="19"/>
      <c r="G11" s="22" t="n">
        <v>5000</v>
      </c>
      <c r="H11" s="19" t="n">
        <v>4.8</v>
      </c>
      <c r="I11" s="23" t="s">
        <v>27</v>
      </c>
      <c r="J11" s="19" t="s">
        <v>321</v>
      </c>
    </row>
    <row r="12" customFormat="false" ht="15" hidden="false" customHeight="false" outlineLevel="0" collapsed="false">
      <c r="A12" s="19" t="s">
        <v>249</v>
      </c>
      <c r="B12" s="19" t="s">
        <v>138</v>
      </c>
      <c r="C12" s="19" t="s">
        <v>319</v>
      </c>
      <c r="D12" s="19" t="s">
        <v>329</v>
      </c>
      <c r="E12" s="22" t="n">
        <v>2593</v>
      </c>
      <c r="F12" s="19" t="n">
        <v>8.16</v>
      </c>
      <c r="G12" s="22" t="n">
        <v>5000</v>
      </c>
      <c r="H12" s="19" t="n">
        <v>4.8</v>
      </c>
      <c r="I12" s="23" t="s">
        <v>27</v>
      </c>
      <c r="J12" s="19" t="s">
        <v>330</v>
      </c>
    </row>
    <row r="13" customFormat="false" ht="15" hidden="false" customHeight="false" outlineLevel="0" collapsed="false">
      <c r="A13" s="19" t="s">
        <v>246</v>
      </c>
      <c r="B13" s="19" t="s">
        <v>138</v>
      </c>
      <c r="C13" s="19" t="s">
        <v>319</v>
      </c>
      <c r="D13" s="19" t="s">
        <v>331</v>
      </c>
      <c r="E13" s="22" t="n">
        <v>1186</v>
      </c>
      <c r="F13" s="19" t="n">
        <v>0.99</v>
      </c>
      <c r="G13" s="22" t="n">
        <v>4000</v>
      </c>
      <c r="H13" s="19" t="n">
        <v>4.7</v>
      </c>
      <c r="I13" s="23" t="s">
        <v>27</v>
      </c>
      <c r="J13" s="19" t="s">
        <v>323</v>
      </c>
    </row>
    <row r="14" customFormat="false" ht="15" hidden="false" customHeight="false" outlineLevel="0" collapsed="false">
      <c r="A14" s="19" t="s">
        <v>332</v>
      </c>
      <c r="B14" s="19" t="s">
        <v>138</v>
      </c>
      <c r="C14" s="19" t="s">
        <v>319</v>
      </c>
      <c r="D14" s="19" t="s">
        <v>333</v>
      </c>
      <c r="E14" s="22" t="n">
        <v>1778</v>
      </c>
      <c r="F14" s="19" t="n">
        <v>0.99</v>
      </c>
      <c r="G14" s="22" t="n">
        <v>4000</v>
      </c>
      <c r="H14" s="19" t="n">
        <v>4.3</v>
      </c>
      <c r="I14" s="23" t="s">
        <v>27</v>
      </c>
      <c r="J14" s="19" t="s">
        <v>323</v>
      </c>
    </row>
    <row r="15" customFormat="false" ht="15" hidden="false" customHeight="false" outlineLevel="0" collapsed="false">
      <c r="A15" s="19" t="s">
        <v>246</v>
      </c>
      <c r="B15" s="19" t="s">
        <v>138</v>
      </c>
      <c r="C15" s="19" t="s">
        <v>319</v>
      </c>
      <c r="D15" s="19" t="s">
        <v>334</v>
      </c>
      <c r="E15" s="22" t="n">
        <v>1818</v>
      </c>
      <c r="F15" s="19" t="n">
        <v>4.15</v>
      </c>
      <c r="G15" s="22" t="n">
        <v>4000</v>
      </c>
      <c r="H15" s="19" t="n">
        <v>4.6</v>
      </c>
      <c r="I15" s="23" t="s">
        <v>27</v>
      </c>
      <c r="J15" s="19" t="s">
        <v>326</v>
      </c>
    </row>
    <row r="16" customFormat="false" ht="15" hidden="false" customHeight="false" outlineLevel="0" collapsed="false">
      <c r="A16" s="19" t="s">
        <v>246</v>
      </c>
      <c r="B16" s="19" t="s">
        <v>138</v>
      </c>
      <c r="C16" s="19" t="s">
        <v>319</v>
      </c>
      <c r="D16" s="19" t="s">
        <v>335</v>
      </c>
      <c r="E16" s="22" t="n">
        <v>485</v>
      </c>
      <c r="F16" s="19"/>
      <c r="G16" s="22" t="n">
        <v>4000</v>
      </c>
      <c r="H16" s="19" t="n">
        <v>4.6</v>
      </c>
      <c r="I16" s="23" t="s">
        <v>27</v>
      </c>
      <c r="J16" s="19" t="s">
        <v>321</v>
      </c>
    </row>
    <row r="17" customFormat="false" ht="15" hidden="false" customHeight="false" outlineLevel="0" collapsed="false">
      <c r="A17" s="19" t="s">
        <v>246</v>
      </c>
      <c r="B17" s="19" t="s">
        <v>138</v>
      </c>
      <c r="C17" s="19" t="s">
        <v>319</v>
      </c>
      <c r="D17" s="19" t="s">
        <v>336</v>
      </c>
      <c r="E17" s="22" t="n">
        <v>1265</v>
      </c>
      <c r="F17" s="19"/>
      <c r="G17" s="22" t="n">
        <v>4000</v>
      </c>
      <c r="H17" s="19" t="n">
        <v>4.9</v>
      </c>
      <c r="I17" s="23" t="s">
        <v>27</v>
      </c>
      <c r="J17" s="19" t="s">
        <v>321</v>
      </c>
    </row>
    <row r="18" customFormat="false" ht="15" hidden="false" customHeight="false" outlineLevel="0" collapsed="false">
      <c r="A18" s="19" t="s">
        <v>246</v>
      </c>
      <c r="B18" s="19" t="s">
        <v>138</v>
      </c>
      <c r="C18" s="19" t="s">
        <v>319</v>
      </c>
      <c r="D18" s="19" t="s">
        <v>337</v>
      </c>
      <c r="E18" s="22" t="n">
        <v>771</v>
      </c>
      <c r="F18" s="19"/>
      <c r="G18" s="22" t="n">
        <v>4000</v>
      </c>
      <c r="H18" s="19" t="n">
        <v>4.7</v>
      </c>
      <c r="I18" s="23" t="s">
        <v>27</v>
      </c>
      <c r="J18" s="19" t="s">
        <v>321</v>
      </c>
    </row>
    <row r="19" customFormat="false" ht="15" hidden="false" customHeight="false" outlineLevel="0" collapsed="false">
      <c r="A19" s="19" t="s">
        <v>252</v>
      </c>
      <c r="B19" s="19" t="s">
        <v>138</v>
      </c>
      <c r="C19" s="19" t="s">
        <v>319</v>
      </c>
      <c r="D19" s="19" t="s">
        <v>338</v>
      </c>
      <c r="E19" s="22" t="n">
        <v>1087</v>
      </c>
      <c r="F19" s="19" t="n">
        <v>1.23</v>
      </c>
      <c r="G19" s="22" t="n">
        <v>3000</v>
      </c>
      <c r="H19" s="19" t="n">
        <v>4.8</v>
      </c>
      <c r="I19" s="23" t="s">
        <v>27</v>
      </c>
      <c r="J19" s="19" t="s">
        <v>339</v>
      </c>
    </row>
    <row r="20" customFormat="false" ht="15" hidden="false" customHeight="false" outlineLevel="0" collapsed="false">
      <c r="A20" s="19" t="s">
        <v>246</v>
      </c>
      <c r="B20" s="19" t="s">
        <v>138</v>
      </c>
      <c r="C20" s="19" t="s">
        <v>319</v>
      </c>
      <c r="D20" s="19" t="s">
        <v>340</v>
      </c>
      <c r="E20" s="22" t="n">
        <v>549</v>
      </c>
      <c r="F20" s="19"/>
      <c r="G20" s="22" t="n">
        <v>3000</v>
      </c>
      <c r="H20" s="19" t="n">
        <v>4.8</v>
      </c>
      <c r="I20" s="23" t="s">
        <v>27</v>
      </c>
      <c r="J20" s="19" t="s">
        <v>323</v>
      </c>
    </row>
    <row r="21" customFormat="false" ht="15" hidden="false" customHeight="false" outlineLevel="0" collapsed="false">
      <c r="A21" s="19" t="s">
        <v>246</v>
      </c>
      <c r="B21" s="19" t="s">
        <v>138</v>
      </c>
      <c r="C21" s="19" t="s">
        <v>319</v>
      </c>
      <c r="D21" s="19" t="s">
        <v>341</v>
      </c>
      <c r="E21" s="22" t="n">
        <v>848</v>
      </c>
      <c r="F21" s="19" t="n">
        <v>0.99</v>
      </c>
      <c r="G21" s="22" t="n">
        <v>3000</v>
      </c>
      <c r="H21" s="19" t="n">
        <v>4.8</v>
      </c>
      <c r="I21" s="23" t="s">
        <v>27</v>
      </c>
      <c r="J21" s="19" t="s">
        <v>323</v>
      </c>
    </row>
    <row r="22" customFormat="false" ht="15" hidden="false" customHeight="false" outlineLevel="0" collapsed="false">
      <c r="A22" s="19" t="s">
        <v>332</v>
      </c>
      <c r="B22" s="19" t="s">
        <v>138</v>
      </c>
      <c r="C22" s="19" t="s">
        <v>319</v>
      </c>
      <c r="D22" s="19" t="s">
        <v>342</v>
      </c>
      <c r="E22" s="22" t="n">
        <v>851</v>
      </c>
      <c r="F22" s="19" t="n">
        <v>2.29</v>
      </c>
      <c r="G22" s="22" t="n">
        <v>3000</v>
      </c>
      <c r="H22" s="19" t="n">
        <v>4.7</v>
      </c>
      <c r="I22" s="23" t="s">
        <v>27</v>
      </c>
      <c r="J22" s="19" t="s">
        <v>326</v>
      </c>
    </row>
    <row r="23" customFormat="false" ht="15" hidden="false" customHeight="false" outlineLevel="0" collapsed="false">
      <c r="A23" s="19" t="s">
        <v>252</v>
      </c>
      <c r="B23" s="19" t="s">
        <v>138</v>
      </c>
      <c r="C23" s="19" t="s">
        <v>319</v>
      </c>
      <c r="D23" s="19" t="s">
        <v>343</v>
      </c>
      <c r="E23" s="22" t="n">
        <v>765</v>
      </c>
      <c r="F23" s="19" t="n">
        <v>1.09</v>
      </c>
      <c r="G23" s="22" t="n">
        <v>2000</v>
      </c>
      <c r="H23" s="19" t="n">
        <v>4.6</v>
      </c>
      <c r="I23" s="23" t="s">
        <v>27</v>
      </c>
      <c r="J23" s="19" t="s">
        <v>339</v>
      </c>
    </row>
    <row r="24" customFormat="false" ht="15" hidden="false" customHeight="false" outlineLevel="0" collapsed="false">
      <c r="A24" s="19" t="s">
        <v>252</v>
      </c>
      <c r="B24" s="19" t="s">
        <v>138</v>
      </c>
      <c r="C24" s="19" t="s">
        <v>319</v>
      </c>
      <c r="D24" s="19" t="s">
        <v>344</v>
      </c>
      <c r="E24" s="22" t="n">
        <v>1364</v>
      </c>
      <c r="F24" s="19" t="n">
        <v>1.94</v>
      </c>
      <c r="G24" s="22" t="n">
        <v>2000</v>
      </c>
      <c r="H24" s="19" t="n">
        <v>4.7</v>
      </c>
      <c r="I24" s="23" t="s">
        <v>27</v>
      </c>
      <c r="J24" s="19" t="s">
        <v>345</v>
      </c>
    </row>
    <row r="25" customFormat="false" ht="15" hidden="false" customHeight="false" outlineLevel="0" collapsed="false">
      <c r="A25" s="19" t="s">
        <v>246</v>
      </c>
      <c r="B25" s="19" t="s">
        <v>138</v>
      </c>
      <c r="C25" s="19" t="s">
        <v>319</v>
      </c>
      <c r="D25" s="19" t="s">
        <v>346</v>
      </c>
      <c r="E25" s="22" t="n">
        <v>1070</v>
      </c>
      <c r="F25" s="19"/>
      <c r="G25" s="22" t="n">
        <v>2000</v>
      </c>
      <c r="H25" s="19" t="n">
        <v>4.8</v>
      </c>
      <c r="I25" s="23" t="s">
        <v>27</v>
      </c>
      <c r="J25" s="19" t="s">
        <v>323</v>
      </c>
    </row>
    <row r="26" customFormat="false" ht="15" hidden="false" customHeight="false" outlineLevel="0" collapsed="false">
      <c r="A26" s="19" t="s">
        <v>246</v>
      </c>
      <c r="B26" s="19" t="s">
        <v>138</v>
      </c>
      <c r="C26" s="19" t="s">
        <v>319</v>
      </c>
      <c r="D26" s="19" t="s">
        <v>347</v>
      </c>
      <c r="E26" s="22" t="n">
        <v>723</v>
      </c>
      <c r="F26" s="19" t="n">
        <v>0.99</v>
      </c>
      <c r="G26" s="22" t="n">
        <v>2000</v>
      </c>
      <c r="H26" s="19" t="n">
        <v>4.6</v>
      </c>
      <c r="I26" s="23" t="s">
        <v>27</v>
      </c>
      <c r="J26" s="19" t="s">
        <v>323</v>
      </c>
    </row>
    <row r="27" customFormat="false" ht="15" hidden="false" customHeight="false" outlineLevel="0" collapsed="false">
      <c r="A27" s="19" t="s">
        <v>246</v>
      </c>
      <c r="B27" s="19" t="s">
        <v>138</v>
      </c>
      <c r="C27" s="19" t="s">
        <v>319</v>
      </c>
      <c r="D27" s="19" t="s">
        <v>348</v>
      </c>
      <c r="E27" s="22" t="n">
        <v>584</v>
      </c>
      <c r="F27" s="19"/>
      <c r="G27" s="22" t="n">
        <v>2000</v>
      </c>
      <c r="H27" s="19"/>
      <c r="I27" s="23" t="s">
        <v>27</v>
      </c>
      <c r="J27" s="19" t="s">
        <v>323</v>
      </c>
    </row>
    <row r="28" customFormat="false" ht="15" hidden="false" customHeight="false" outlineLevel="0" collapsed="false">
      <c r="A28" s="19" t="s">
        <v>249</v>
      </c>
      <c r="B28" s="19" t="s">
        <v>138</v>
      </c>
      <c r="C28" s="19" t="s">
        <v>319</v>
      </c>
      <c r="D28" s="19" t="s">
        <v>349</v>
      </c>
      <c r="E28" s="22" t="n">
        <v>614</v>
      </c>
      <c r="F28" s="19"/>
      <c r="G28" s="22" t="n">
        <v>2000</v>
      </c>
      <c r="H28" s="19" t="n">
        <v>4.9</v>
      </c>
      <c r="I28" s="23" t="s">
        <v>27</v>
      </c>
      <c r="J28" s="19" t="s">
        <v>323</v>
      </c>
    </row>
    <row r="29" customFormat="false" ht="15" hidden="false" customHeight="false" outlineLevel="0" collapsed="false">
      <c r="A29" s="19" t="s">
        <v>246</v>
      </c>
      <c r="B29" s="19" t="s">
        <v>138</v>
      </c>
      <c r="C29" s="19" t="s">
        <v>319</v>
      </c>
      <c r="D29" s="19" t="s">
        <v>350</v>
      </c>
      <c r="E29" s="22" t="n">
        <v>467</v>
      </c>
      <c r="F29" s="19" t="n">
        <v>1.09</v>
      </c>
      <c r="G29" s="22" t="n">
        <v>2000</v>
      </c>
      <c r="H29" s="19" t="n">
        <v>4.9</v>
      </c>
      <c r="I29" s="23" t="s">
        <v>27</v>
      </c>
      <c r="J29" s="19" t="s">
        <v>351</v>
      </c>
    </row>
    <row r="30" customFormat="false" ht="15" hidden="false" customHeight="false" outlineLevel="0" collapsed="false">
      <c r="A30" s="19" t="s">
        <v>252</v>
      </c>
      <c r="B30" s="19" t="s">
        <v>138</v>
      </c>
      <c r="C30" s="19" t="s">
        <v>319</v>
      </c>
      <c r="D30" s="19" t="s">
        <v>352</v>
      </c>
      <c r="E30" s="22" t="n">
        <v>585</v>
      </c>
      <c r="F30" s="19"/>
      <c r="G30" s="22" t="n">
        <v>2000</v>
      </c>
      <c r="H30" s="19" t="n">
        <v>4.7</v>
      </c>
      <c r="I30" s="23" t="s">
        <v>27</v>
      </c>
      <c r="J30" s="19" t="s">
        <v>345</v>
      </c>
    </row>
    <row r="31" customFormat="false" ht="15" hidden="false" customHeight="false" outlineLevel="0" collapsed="false">
      <c r="A31" s="19" t="s">
        <v>252</v>
      </c>
      <c r="B31" s="19" t="s">
        <v>138</v>
      </c>
      <c r="C31" s="19" t="s">
        <v>319</v>
      </c>
      <c r="D31" s="19" t="s">
        <v>353</v>
      </c>
      <c r="E31" s="22" t="n">
        <v>573</v>
      </c>
      <c r="F31" s="19"/>
      <c r="G31" s="22" t="n">
        <v>2000</v>
      </c>
      <c r="H31" s="19" t="n">
        <v>4.8</v>
      </c>
      <c r="I31" s="23" t="s">
        <v>27</v>
      </c>
      <c r="J31" s="19" t="s">
        <v>345</v>
      </c>
    </row>
    <row r="32" customFormat="false" ht="15" hidden="false" customHeight="false" outlineLevel="0" collapsed="false">
      <c r="A32" s="19" t="s">
        <v>252</v>
      </c>
      <c r="B32" s="19" t="s">
        <v>138</v>
      </c>
      <c r="C32" s="19" t="s">
        <v>319</v>
      </c>
      <c r="D32" s="19" t="s">
        <v>354</v>
      </c>
      <c r="E32" s="22" t="n">
        <v>377</v>
      </c>
      <c r="F32" s="19"/>
      <c r="G32" s="22" t="n">
        <v>2000</v>
      </c>
      <c r="H32" s="19" t="n">
        <v>4.8</v>
      </c>
      <c r="I32" s="23" t="s">
        <v>27</v>
      </c>
      <c r="J32" s="19" t="s">
        <v>345</v>
      </c>
    </row>
    <row r="33" customFormat="false" ht="15" hidden="false" customHeight="false" outlineLevel="0" collapsed="false">
      <c r="A33" s="19" t="s">
        <v>246</v>
      </c>
      <c r="B33" s="19" t="s">
        <v>138</v>
      </c>
      <c r="C33" s="19" t="s">
        <v>319</v>
      </c>
      <c r="D33" s="19" t="s">
        <v>355</v>
      </c>
      <c r="E33" s="22" t="n">
        <v>1548</v>
      </c>
      <c r="F33" s="19" t="n">
        <v>2.46</v>
      </c>
      <c r="G33" s="22" t="n">
        <v>2000</v>
      </c>
      <c r="H33" s="19" t="n">
        <v>4.7</v>
      </c>
      <c r="I33" s="23" t="s">
        <v>27</v>
      </c>
      <c r="J33" s="19" t="s">
        <v>321</v>
      </c>
    </row>
    <row r="34" customFormat="false" ht="15" hidden="false" customHeight="false" outlineLevel="0" collapsed="false">
      <c r="A34" s="19" t="s">
        <v>246</v>
      </c>
      <c r="B34" s="19" t="s">
        <v>138</v>
      </c>
      <c r="C34" s="19" t="s">
        <v>319</v>
      </c>
      <c r="D34" s="19" t="s">
        <v>356</v>
      </c>
      <c r="E34" s="22" t="n">
        <v>578</v>
      </c>
      <c r="F34" s="19"/>
      <c r="G34" s="22" t="n">
        <v>2000</v>
      </c>
      <c r="H34" s="19" t="n">
        <v>4.7</v>
      </c>
      <c r="I34" s="23" t="s">
        <v>27</v>
      </c>
      <c r="J34" s="19" t="s">
        <v>321</v>
      </c>
    </row>
    <row r="35" customFormat="false" ht="15" hidden="false" customHeight="false" outlineLevel="0" collapsed="false">
      <c r="A35" s="19" t="s">
        <v>246</v>
      </c>
      <c r="B35" s="19" t="s">
        <v>138</v>
      </c>
      <c r="C35" s="19" t="s">
        <v>319</v>
      </c>
      <c r="D35" s="19" t="s">
        <v>357</v>
      </c>
      <c r="E35" s="22" t="n">
        <v>1975</v>
      </c>
      <c r="F35" s="19" t="n">
        <v>3.39</v>
      </c>
      <c r="G35" s="22" t="n">
        <v>2000</v>
      </c>
      <c r="H35" s="19" t="n">
        <v>4.8</v>
      </c>
      <c r="I35" s="23" t="s">
        <v>27</v>
      </c>
      <c r="J35" s="19" t="s">
        <v>321</v>
      </c>
    </row>
    <row r="36" customFormat="false" ht="15" hidden="false" customHeight="false" outlineLevel="0" collapsed="false">
      <c r="A36" s="19" t="s">
        <v>249</v>
      </c>
      <c r="B36" s="19" t="s">
        <v>138</v>
      </c>
      <c r="C36" s="19" t="s">
        <v>319</v>
      </c>
      <c r="D36" s="19" t="s">
        <v>358</v>
      </c>
      <c r="E36" s="22" t="n">
        <v>1340</v>
      </c>
      <c r="F36" s="19"/>
      <c r="G36" s="22" t="n">
        <v>2000</v>
      </c>
      <c r="H36" s="19" t="n">
        <v>4.6</v>
      </c>
      <c r="I36" s="23" t="s">
        <v>27</v>
      </c>
      <c r="J36" s="19" t="s">
        <v>330</v>
      </c>
    </row>
    <row r="37" customFormat="false" ht="15" hidden="false" customHeight="false" outlineLevel="0" collapsed="false">
      <c r="A37" s="19" t="s">
        <v>252</v>
      </c>
      <c r="B37" s="19" t="s">
        <v>138</v>
      </c>
      <c r="C37" s="19" t="s">
        <v>319</v>
      </c>
      <c r="D37" s="19" t="s">
        <v>359</v>
      </c>
      <c r="E37" s="22" t="n">
        <v>401</v>
      </c>
      <c r="F37" s="19" t="n">
        <v>1.09</v>
      </c>
      <c r="G37" s="22" t="n">
        <v>1000</v>
      </c>
      <c r="H37" s="19" t="n">
        <v>4.5</v>
      </c>
      <c r="I37" s="23" t="s">
        <v>27</v>
      </c>
      <c r="J37" s="19" t="s">
        <v>339</v>
      </c>
    </row>
    <row r="38" customFormat="false" ht="15" hidden="false" customHeight="false" outlineLevel="0" collapsed="false">
      <c r="A38" s="19" t="s">
        <v>252</v>
      </c>
      <c r="B38" s="19" t="s">
        <v>138</v>
      </c>
      <c r="C38" s="19" t="s">
        <v>319</v>
      </c>
      <c r="D38" s="19" t="s">
        <v>360</v>
      </c>
      <c r="E38" s="22" t="n">
        <v>283</v>
      </c>
      <c r="F38" s="19"/>
      <c r="G38" s="22" t="n">
        <v>1000</v>
      </c>
      <c r="H38" s="19" t="n">
        <v>4.8</v>
      </c>
      <c r="I38" s="23" t="s">
        <v>27</v>
      </c>
      <c r="J38" s="19" t="s">
        <v>339</v>
      </c>
    </row>
    <row r="39" customFormat="false" ht="15" hidden="false" customHeight="false" outlineLevel="0" collapsed="false">
      <c r="A39" s="19" t="s">
        <v>252</v>
      </c>
      <c r="B39" s="19" t="s">
        <v>138</v>
      </c>
      <c r="C39" s="19" t="s">
        <v>319</v>
      </c>
      <c r="D39" s="19" t="s">
        <v>361</v>
      </c>
      <c r="E39" s="22" t="n">
        <v>407</v>
      </c>
      <c r="F39" s="19"/>
      <c r="G39" s="22" t="n">
        <v>1000</v>
      </c>
      <c r="H39" s="19" t="n">
        <v>4.6</v>
      </c>
      <c r="I39" s="23" t="s">
        <v>27</v>
      </c>
      <c r="J39" s="19" t="s">
        <v>339</v>
      </c>
    </row>
    <row r="40" customFormat="false" ht="15" hidden="false" customHeight="false" outlineLevel="0" collapsed="false">
      <c r="A40" s="19" t="s">
        <v>252</v>
      </c>
      <c r="B40" s="19" t="s">
        <v>138</v>
      </c>
      <c r="C40" s="19" t="s">
        <v>319</v>
      </c>
      <c r="D40" s="19" t="s">
        <v>362</v>
      </c>
      <c r="E40" s="22" t="n">
        <v>528</v>
      </c>
      <c r="F40" s="19"/>
      <c r="G40" s="22" t="n">
        <v>1000</v>
      </c>
      <c r="H40" s="19" t="n">
        <v>4.7</v>
      </c>
      <c r="I40" s="23" t="s">
        <v>27</v>
      </c>
      <c r="J40" s="19" t="s">
        <v>339</v>
      </c>
    </row>
    <row r="41" customFormat="false" ht="15" hidden="false" customHeight="false" outlineLevel="0" collapsed="false">
      <c r="A41" s="19" t="s">
        <v>252</v>
      </c>
      <c r="B41" s="19" t="s">
        <v>138</v>
      </c>
      <c r="C41" s="19" t="s">
        <v>319</v>
      </c>
      <c r="D41" s="19" t="s">
        <v>363</v>
      </c>
      <c r="E41" s="22" t="n">
        <v>308</v>
      </c>
      <c r="F41" s="19"/>
      <c r="G41" s="22" t="n">
        <v>1000</v>
      </c>
      <c r="H41" s="19" t="n">
        <v>4.9</v>
      </c>
      <c r="I41" s="23" t="s">
        <v>27</v>
      </c>
      <c r="J41" s="19" t="s">
        <v>364</v>
      </c>
    </row>
    <row r="42" customFormat="false" ht="15" hidden="false" customHeight="false" outlineLevel="0" collapsed="false">
      <c r="A42" s="19" t="s">
        <v>252</v>
      </c>
      <c r="B42" s="19" t="s">
        <v>272</v>
      </c>
      <c r="C42" s="19" t="s">
        <v>365</v>
      </c>
      <c r="D42" s="19" t="s">
        <v>366</v>
      </c>
      <c r="E42" s="22" t="n">
        <v>915</v>
      </c>
      <c r="F42" s="19" t="n">
        <v>1.01</v>
      </c>
      <c r="G42" s="22" t="n">
        <v>1000</v>
      </c>
      <c r="H42" s="19" t="n">
        <v>4.4</v>
      </c>
      <c r="I42" s="23" t="s">
        <v>27</v>
      </c>
      <c r="J42" s="19" t="s">
        <v>364</v>
      </c>
    </row>
    <row r="43" customFormat="false" ht="15" hidden="false" customHeight="false" outlineLevel="0" collapsed="false">
      <c r="A43" s="19" t="s">
        <v>332</v>
      </c>
      <c r="B43" s="19" t="s">
        <v>138</v>
      </c>
      <c r="C43" s="19" t="s">
        <v>367</v>
      </c>
      <c r="D43" s="19" t="s">
        <v>368</v>
      </c>
      <c r="E43" s="22" t="n">
        <v>750</v>
      </c>
      <c r="F43" s="19" t="n">
        <v>0.99</v>
      </c>
      <c r="G43" s="22" t="n">
        <v>1000</v>
      </c>
      <c r="H43" s="19" t="n">
        <v>4.7</v>
      </c>
      <c r="I43" s="23" t="s">
        <v>27</v>
      </c>
      <c r="J43" s="19" t="s">
        <v>364</v>
      </c>
    </row>
    <row r="44" customFormat="false" ht="15" hidden="false" customHeight="false" outlineLevel="0" collapsed="false">
      <c r="A44" s="19" t="s">
        <v>252</v>
      </c>
      <c r="B44" s="19" t="s">
        <v>138</v>
      </c>
      <c r="C44" s="19" t="s">
        <v>319</v>
      </c>
      <c r="D44" s="19" t="s">
        <v>369</v>
      </c>
      <c r="E44" s="22" t="n">
        <v>317</v>
      </c>
      <c r="F44" s="19"/>
      <c r="G44" s="22" t="n">
        <v>1000</v>
      </c>
      <c r="H44" s="19" t="n">
        <v>4.8</v>
      </c>
      <c r="I44" s="23" t="s">
        <v>27</v>
      </c>
      <c r="J44" s="19" t="s">
        <v>370</v>
      </c>
    </row>
    <row r="45" customFormat="false" ht="15" hidden="false" customHeight="false" outlineLevel="0" collapsed="false">
      <c r="A45" s="19" t="s">
        <v>246</v>
      </c>
      <c r="B45" s="19" t="s">
        <v>138</v>
      </c>
      <c r="C45" s="19" t="s">
        <v>367</v>
      </c>
      <c r="D45" s="19" t="s">
        <v>371</v>
      </c>
      <c r="E45" s="22" t="n">
        <v>1429</v>
      </c>
      <c r="F45" s="19" t="n">
        <v>1.09</v>
      </c>
      <c r="G45" s="22" t="n">
        <v>1000</v>
      </c>
      <c r="H45" s="19" t="n">
        <v>4.2</v>
      </c>
      <c r="I45" s="23" t="s">
        <v>27</v>
      </c>
      <c r="J45" s="19" t="s">
        <v>372</v>
      </c>
    </row>
    <row r="46" customFormat="false" ht="15" hidden="false" customHeight="false" outlineLevel="0" collapsed="false">
      <c r="A46" s="19" t="s">
        <v>246</v>
      </c>
      <c r="B46" s="19" t="s">
        <v>138</v>
      </c>
      <c r="C46" s="19" t="s">
        <v>319</v>
      </c>
      <c r="D46" s="19" t="s">
        <v>373</v>
      </c>
      <c r="E46" s="22" t="n">
        <v>813</v>
      </c>
      <c r="F46" s="19"/>
      <c r="G46" s="22" t="n">
        <v>1000</v>
      </c>
      <c r="H46" s="19"/>
      <c r="I46" s="23" t="s">
        <v>27</v>
      </c>
      <c r="J46" s="19" t="s">
        <v>323</v>
      </c>
    </row>
    <row r="47" customFormat="false" ht="15" hidden="false" customHeight="false" outlineLevel="0" collapsed="false">
      <c r="A47" s="19" t="s">
        <v>246</v>
      </c>
      <c r="B47" s="19" t="s">
        <v>138</v>
      </c>
      <c r="C47" s="19" t="s">
        <v>319</v>
      </c>
      <c r="D47" s="19" t="s">
        <v>374</v>
      </c>
      <c r="E47" s="22" t="n">
        <v>610</v>
      </c>
      <c r="F47" s="19"/>
      <c r="G47" s="22" t="n">
        <v>1000</v>
      </c>
      <c r="H47" s="19" t="n">
        <v>4.8</v>
      </c>
      <c r="I47" s="23" t="s">
        <v>27</v>
      </c>
      <c r="J47" s="19" t="s">
        <v>323</v>
      </c>
    </row>
    <row r="48" customFormat="false" ht="15" hidden="false" customHeight="false" outlineLevel="0" collapsed="false">
      <c r="A48" s="19" t="s">
        <v>246</v>
      </c>
      <c r="B48" s="19" t="s">
        <v>138</v>
      </c>
      <c r="C48" s="19" t="s">
        <v>319</v>
      </c>
      <c r="D48" s="19" t="s">
        <v>375</v>
      </c>
      <c r="E48" s="22" t="n">
        <v>962</v>
      </c>
      <c r="F48" s="19"/>
      <c r="G48" s="22" t="n">
        <v>1000</v>
      </c>
      <c r="H48" s="19" t="n">
        <v>4.8</v>
      </c>
      <c r="I48" s="23" t="s">
        <v>27</v>
      </c>
      <c r="J48" s="19" t="s">
        <v>323</v>
      </c>
    </row>
    <row r="49" customFormat="false" ht="15" hidden="false" customHeight="false" outlineLevel="0" collapsed="false">
      <c r="A49" s="19" t="s">
        <v>246</v>
      </c>
      <c r="B49" s="19" t="s">
        <v>138</v>
      </c>
      <c r="C49" s="19" t="s">
        <v>319</v>
      </c>
      <c r="D49" s="19" t="s">
        <v>376</v>
      </c>
      <c r="E49" s="22" t="n">
        <v>507</v>
      </c>
      <c r="F49" s="19"/>
      <c r="G49" s="22" t="n">
        <v>1000</v>
      </c>
      <c r="H49" s="19" t="n">
        <v>4.8</v>
      </c>
      <c r="I49" s="23" t="s">
        <v>27</v>
      </c>
      <c r="J49" s="19" t="s">
        <v>323</v>
      </c>
    </row>
    <row r="50" customFormat="false" ht="15" hidden="false" customHeight="false" outlineLevel="0" collapsed="false">
      <c r="A50" s="19" t="s">
        <v>246</v>
      </c>
      <c r="B50" s="19" t="s">
        <v>138</v>
      </c>
      <c r="C50" s="19" t="s">
        <v>319</v>
      </c>
      <c r="D50" s="19" t="s">
        <v>377</v>
      </c>
      <c r="E50" s="22" t="n">
        <v>992</v>
      </c>
      <c r="F50" s="19" t="n">
        <v>1.92</v>
      </c>
      <c r="G50" s="22" t="n">
        <v>1000</v>
      </c>
      <c r="H50" s="19" t="n">
        <v>4.8</v>
      </c>
      <c r="I50" s="23" t="s">
        <v>27</v>
      </c>
      <c r="J50" s="19" t="s">
        <v>323</v>
      </c>
    </row>
    <row r="51" customFormat="false" ht="15" hidden="false" customHeight="false" outlineLevel="0" collapsed="false">
      <c r="A51" s="19" t="s">
        <v>332</v>
      </c>
      <c r="B51" s="19" t="s">
        <v>138</v>
      </c>
      <c r="C51" s="19" t="s">
        <v>319</v>
      </c>
      <c r="D51" s="19" t="s">
        <v>378</v>
      </c>
      <c r="E51" s="22" t="n">
        <v>372</v>
      </c>
      <c r="F51" s="19"/>
      <c r="G51" s="22" t="n">
        <v>1000</v>
      </c>
      <c r="H51" s="19" t="n">
        <v>4.3</v>
      </c>
      <c r="I51" s="23" t="s">
        <v>27</v>
      </c>
      <c r="J51" s="19" t="s">
        <v>323</v>
      </c>
    </row>
    <row r="52" customFormat="false" ht="15" hidden="false" customHeight="false" outlineLevel="0" collapsed="false">
      <c r="A52" s="19" t="s">
        <v>246</v>
      </c>
      <c r="B52" s="19" t="s">
        <v>138</v>
      </c>
      <c r="C52" s="19" t="s">
        <v>319</v>
      </c>
      <c r="D52" s="19" t="s">
        <v>379</v>
      </c>
      <c r="E52" s="22" t="n">
        <v>548</v>
      </c>
      <c r="F52" s="19"/>
      <c r="G52" s="22" t="n">
        <v>1000</v>
      </c>
      <c r="H52" s="19" t="n">
        <v>4.8</v>
      </c>
      <c r="I52" s="23" t="s">
        <v>27</v>
      </c>
      <c r="J52" s="19" t="s">
        <v>326</v>
      </c>
    </row>
    <row r="53" customFormat="false" ht="15" hidden="false" customHeight="false" outlineLevel="0" collapsed="false">
      <c r="A53" s="19" t="s">
        <v>246</v>
      </c>
      <c r="B53" s="19" t="s">
        <v>138</v>
      </c>
      <c r="C53" s="19" t="s">
        <v>319</v>
      </c>
      <c r="D53" s="19" t="s">
        <v>380</v>
      </c>
      <c r="E53" s="22" t="n">
        <v>704</v>
      </c>
      <c r="F53" s="19"/>
      <c r="G53" s="22" t="n">
        <v>1000</v>
      </c>
      <c r="H53" s="19" t="n">
        <v>4.7</v>
      </c>
      <c r="I53" s="23" t="s">
        <v>27</v>
      </c>
      <c r="J53" s="19" t="s">
        <v>351</v>
      </c>
    </row>
    <row r="54" customFormat="false" ht="15" hidden="false" customHeight="false" outlineLevel="0" collapsed="false">
      <c r="A54" s="19" t="s">
        <v>252</v>
      </c>
      <c r="B54" s="19" t="s">
        <v>138</v>
      </c>
      <c r="C54" s="19" t="s">
        <v>319</v>
      </c>
      <c r="D54" s="19" t="s">
        <v>381</v>
      </c>
      <c r="E54" s="22" t="n">
        <v>911</v>
      </c>
      <c r="F54" s="19"/>
      <c r="G54" s="22" t="n">
        <v>1000</v>
      </c>
      <c r="H54" s="19" t="n">
        <v>4.9</v>
      </c>
      <c r="I54" s="23" t="s">
        <v>27</v>
      </c>
      <c r="J54" s="19" t="s">
        <v>345</v>
      </c>
    </row>
    <row r="55" customFormat="false" ht="15" hidden="false" customHeight="false" outlineLevel="0" collapsed="false">
      <c r="A55" s="19" t="s">
        <v>252</v>
      </c>
      <c r="B55" s="19" t="s">
        <v>138</v>
      </c>
      <c r="C55" s="19" t="s">
        <v>319</v>
      </c>
      <c r="D55" s="19" t="s">
        <v>382</v>
      </c>
      <c r="E55" s="22" t="n">
        <v>584</v>
      </c>
      <c r="F55" s="19"/>
      <c r="G55" s="22" t="n">
        <v>1000</v>
      </c>
      <c r="H55" s="19" t="n">
        <v>4.8</v>
      </c>
      <c r="I55" s="23" t="s">
        <v>27</v>
      </c>
      <c r="J55" s="19" t="s">
        <v>345</v>
      </c>
    </row>
    <row r="56" customFormat="false" ht="15" hidden="false" customHeight="false" outlineLevel="0" collapsed="false">
      <c r="A56" s="19" t="s">
        <v>246</v>
      </c>
      <c r="B56" s="19" t="s">
        <v>138</v>
      </c>
      <c r="C56" s="19" t="s">
        <v>319</v>
      </c>
      <c r="D56" s="19" t="s">
        <v>383</v>
      </c>
      <c r="E56" s="22" t="n">
        <v>927</v>
      </c>
      <c r="F56" s="19" t="n">
        <v>5.01</v>
      </c>
      <c r="G56" s="22" t="n">
        <v>1000</v>
      </c>
      <c r="H56" s="19" t="n">
        <v>4.8</v>
      </c>
      <c r="I56" s="23" t="s">
        <v>27</v>
      </c>
      <c r="J56" s="19" t="s">
        <v>321</v>
      </c>
    </row>
    <row r="57" customFormat="false" ht="15" hidden="false" customHeight="false" outlineLevel="0" collapsed="false">
      <c r="A57" s="19" t="s">
        <v>246</v>
      </c>
      <c r="B57" s="19" t="s">
        <v>138</v>
      </c>
      <c r="C57" s="19" t="s">
        <v>319</v>
      </c>
      <c r="D57" s="19" t="s">
        <v>384</v>
      </c>
      <c r="E57" s="22" t="n">
        <v>1903</v>
      </c>
      <c r="F57" s="19" t="n">
        <v>4.62</v>
      </c>
      <c r="G57" s="22" t="n">
        <v>1000</v>
      </c>
      <c r="H57" s="19" t="n">
        <v>4.7</v>
      </c>
      <c r="I57" s="23" t="s">
        <v>27</v>
      </c>
      <c r="J57" s="19" t="s">
        <v>321</v>
      </c>
    </row>
    <row r="58" customFormat="false" ht="15" hidden="false" customHeight="false" outlineLevel="0" collapsed="false">
      <c r="A58" s="19" t="s">
        <v>246</v>
      </c>
      <c r="B58" s="19" t="s">
        <v>138</v>
      </c>
      <c r="C58" s="19" t="s">
        <v>319</v>
      </c>
      <c r="D58" s="19" t="s">
        <v>385</v>
      </c>
      <c r="E58" s="22" t="n">
        <v>742</v>
      </c>
      <c r="F58" s="19"/>
      <c r="G58" s="22" t="n">
        <v>1000</v>
      </c>
      <c r="H58" s="19" t="n">
        <v>4.9</v>
      </c>
      <c r="I58" s="23" t="s">
        <v>27</v>
      </c>
      <c r="J58" s="19" t="s">
        <v>321</v>
      </c>
    </row>
    <row r="59" customFormat="false" ht="15" hidden="false" customHeight="false" outlineLevel="0" collapsed="false">
      <c r="A59" s="19" t="s">
        <v>246</v>
      </c>
      <c r="B59" s="19" t="s">
        <v>138</v>
      </c>
      <c r="C59" s="19" t="s">
        <v>319</v>
      </c>
      <c r="D59" s="19" t="s">
        <v>386</v>
      </c>
      <c r="E59" s="22" t="n">
        <v>1065</v>
      </c>
      <c r="F59" s="19" t="n">
        <v>6.65</v>
      </c>
      <c r="G59" s="22" t="n">
        <v>1000</v>
      </c>
      <c r="H59" s="19" t="n">
        <v>4.8</v>
      </c>
      <c r="I59" s="23" t="s">
        <v>27</v>
      </c>
      <c r="J59" s="19" t="s">
        <v>321</v>
      </c>
    </row>
    <row r="60" customFormat="false" ht="15" hidden="false" customHeight="false" outlineLevel="0" collapsed="false">
      <c r="A60" s="19" t="s">
        <v>246</v>
      </c>
      <c r="B60" s="19" t="s">
        <v>138</v>
      </c>
      <c r="C60" s="19" t="s">
        <v>367</v>
      </c>
      <c r="D60" s="19" t="s">
        <v>387</v>
      </c>
      <c r="E60" s="22" t="n">
        <v>1859</v>
      </c>
      <c r="F60" s="19" t="n">
        <v>3.24</v>
      </c>
      <c r="G60" s="22" t="n">
        <v>1000</v>
      </c>
      <c r="H60" s="19" t="n">
        <v>4.5</v>
      </c>
      <c r="I60" s="23" t="s">
        <v>27</v>
      </c>
      <c r="J60" s="19" t="s">
        <v>388</v>
      </c>
    </row>
    <row r="61" customFormat="false" ht="15" hidden="false" customHeight="false" outlineLevel="0" collapsed="false">
      <c r="A61" s="19" t="s">
        <v>252</v>
      </c>
      <c r="B61" s="19" t="s">
        <v>138</v>
      </c>
      <c r="C61" s="19" t="s">
        <v>319</v>
      </c>
      <c r="D61" s="19" t="s">
        <v>389</v>
      </c>
      <c r="E61" s="22" t="n">
        <v>466</v>
      </c>
      <c r="F61" s="19"/>
      <c r="G61" s="22" t="n">
        <v>951</v>
      </c>
      <c r="H61" s="19"/>
      <c r="I61" s="23" t="s">
        <v>27</v>
      </c>
      <c r="J61" s="19" t="s">
        <v>390</v>
      </c>
    </row>
    <row r="62" customFormat="false" ht="15" hidden="false" customHeight="false" outlineLevel="0" collapsed="false">
      <c r="A62" s="19" t="s">
        <v>252</v>
      </c>
      <c r="B62" s="19" t="s">
        <v>138</v>
      </c>
      <c r="C62" s="19" t="s">
        <v>319</v>
      </c>
      <c r="D62" s="19" t="s">
        <v>391</v>
      </c>
      <c r="E62" s="22" t="n">
        <v>276</v>
      </c>
      <c r="F62" s="19"/>
      <c r="G62" s="22" t="n">
        <v>844</v>
      </c>
      <c r="H62" s="19"/>
      <c r="I62" s="23" t="s">
        <v>27</v>
      </c>
      <c r="J62" s="19" t="s">
        <v>390</v>
      </c>
    </row>
    <row r="63" customFormat="false" ht="15" hidden="false" customHeight="false" outlineLevel="0" collapsed="false">
      <c r="A63" s="19" t="s">
        <v>252</v>
      </c>
      <c r="B63" s="19" t="s">
        <v>138</v>
      </c>
      <c r="C63" s="19" t="s">
        <v>319</v>
      </c>
      <c r="D63" s="19" t="s">
        <v>392</v>
      </c>
      <c r="E63" s="22" t="n">
        <v>722</v>
      </c>
      <c r="F63" s="19"/>
      <c r="G63" s="22" t="n">
        <v>800</v>
      </c>
      <c r="H63" s="19" t="n">
        <v>4.4</v>
      </c>
      <c r="I63" s="23" t="s">
        <v>27</v>
      </c>
      <c r="J63" s="19" t="s">
        <v>339</v>
      </c>
    </row>
    <row r="64" customFormat="false" ht="15" hidden="false" customHeight="false" outlineLevel="0" collapsed="false">
      <c r="A64" s="19" t="s">
        <v>246</v>
      </c>
      <c r="B64" s="19" t="s">
        <v>138</v>
      </c>
      <c r="C64" s="19" t="s">
        <v>319</v>
      </c>
      <c r="D64" s="19" t="s">
        <v>393</v>
      </c>
      <c r="E64" s="22" t="n">
        <v>724</v>
      </c>
      <c r="F64" s="19"/>
      <c r="G64" s="22" t="n">
        <v>800</v>
      </c>
      <c r="H64" s="19" t="n">
        <v>4.5</v>
      </c>
      <c r="I64" s="23" t="s">
        <v>27</v>
      </c>
      <c r="J64" s="19" t="s">
        <v>326</v>
      </c>
    </row>
    <row r="65" customFormat="false" ht="15" hidden="false" customHeight="false" outlineLevel="0" collapsed="false">
      <c r="A65" s="19" t="s">
        <v>252</v>
      </c>
      <c r="B65" s="19" t="s">
        <v>138</v>
      </c>
      <c r="C65" s="19" t="s">
        <v>319</v>
      </c>
      <c r="D65" s="19" t="s">
        <v>394</v>
      </c>
      <c r="E65" s="22" t="n">
        <v>562</v>
      </c>
      <c r="F65" s="19"/>
      <c r="G65" s="22" t="n">
        <v>800</v>
      </c>
      <c r="H65" s="19" t="n">
        <v>4.7</v>
      </c>
      <c r="I65" s="23" t="s">
        <v>27</v>
      </c>
      <c r="J65" s="19" t="s">
        <v>345</v>
      </c>
    </row>
    <row r="66" customFormat="false" ht="15" hidden="false" customHeight="false" outlineLevel="0" collapsed="false">
      <c r="A66" s="19" t="s">
        <v>249</v>
      </c>
      <c r="B66" s="19" t="s">
        <v>138</v>
      </c>
      <c r="C66" s="19" t="s">
        <v>319</v>
      </c>
      <c r="D66" s="19" t="s">
        <v>395</v>
      </c>
      <c r="E66" s="22" t="n">
        <v>882</v>
      </c>
      <c r="F66" s="19" t="n">
        <v>4.48</v>
      </c>
      <c r="G66" s="22" t="n">
        <v>800</v>
      </c>
      <c r="H66" s="19"/>
      <c r="I66" s="23" t="s">
        <v>27</v>
      </c>
      <c r="J66" s="19" t="s">
        <v>330</v>
      </c>
    </row>
    <row r="67" customFormat="false" ht="15" hidden="false" customHeight="false" outlineLevel="0" collapsed="false">
      <c r="A67" s="19" t="s">
        <v>252</v>
      </c>
      <c r="B67" s="19" t="s">
        <v>138</v>
      </c>
      <c r="C67" s="19" t="s">
        <v>367</v>
      </c>
      <c r="D67" s="19" t="s">
        <v>396</v>
      </c>
      <c r="E67" s="22" t="n">
        <v>389</v>
      </c>
      <c r="F67" s="19" t="n">
        <v>0.99</v>
      </c>
      <c r="G67" s="22" t="n">
        <v>700</v>
      </c>
      <c r="H67" s="19" t="n">
        <v>4.6</v>
      </c>
      <c r="I67" s="23" t="s">
        <v>27</v>
      </c>
      <c r="J67" s="19" t="s">
        <v>364</v>
      </c>
    </row>
    <row r="68" customFormat="false" ht="15" hidden="false" customHeight="false" outlineLevel="0" collapsed="false">
      <c r="A68" s="19" t="s">
        <v>246</v>
      </c>
      <c r="B68" s="19" t="s">
        <v>244</v>
      </c>
      <c r="C68" s="19" t="s">
        <v>365</v>
      </c>
      <c r="D68" s="19" t="s">
        <v>397</v>
      </c>
      <c r="E68" s="22" t="n">
        <v>792</v>
      </c>
      <c r="F68" s="19"/>
      <c r="G68" s="22" t="n">
        <v>700</v>
      </c>
      <c r="H68" s="19" t="n">
        <v>4.5</v>
      </c>
      <c r="I68" s="23" t="s">
        <v>27</v>
      </c>
      <c r="J68" s="19" t="s">
        <v>323</v>
      </c>
    </row>
    <row r="69" customFormat="false" ht="15" hidden="false" customHeight="false" outlineLevel="0" collapsed="false">
      <c r="A69" s="19" t="s">
        <v>246</v>
      </c>
      <c r="B69" s="19" t="s">
        <v>138</v>
      </c>
      <c r="C69" s="19" t="s">
        <v>319</v>
      </c>
      <c r="D69" s="19" t="s">
        <v>398</v>
      </c>
      <c r="E69" s="22" t="n">
        <v>781</v>
      </c>
      <c r="F69" s="19"/>
      <c r="G69" s="22" t="n">
        <v>700</v>
      </c>
      <c r="H69" s="19" t="n">
        <v>4.8</v>
      </c>
      <c r="I69" s="23" t="s">
        <v>27</v>
      </c>
      <c r="J69" s="19" t="s">
        <v>321</v>
      </c>
    </row>
    <row r="70" customFormat="false" ht="15" hidden="false" customHeight="false" outlineLevel="0" collapsed="false">
      <c r="A70" s="19" t="s">
        <v>252</v>
      </c>
      <c r="B70" s="19" t="s">
        <v>138</v>
      </c>
      <c r="C70" s="19" t="s">
        <v>319</v>
      </c>
      <c r="D70" s="19" t="s">
        <v>399</v>
      </c>
      <c r="E70" s="22" t="n">
        <v>92</v>
      </c>
      <c r="F70" s="19"/>
      <c r="G70" s="22" t="n">
        <v>696</v>
      </c>
      <c r="H70" s="19"/>
      <c r="I70" s="23" t="s">
        <v>27</v>
      </c>
      <c r="J70" s="19" t="s">
        <v>390</v>
      </c>
    </row>
    <row r="71" customFormat="false" ht="15" hidden="false" customHeight="false" outlineLevel="0" collapsed="false">
      <c r="A71" s="19" t="s">
        <v>252</v>
      </c>
      <c r="B71" s="19" t="s">
        <v>138</v>
      </c>
      <c r="C71" s="19" t="s">
        <v>319</v>
      </c>
      <c r="D71" s="19" t="s">
        <v>400</v>
      </c>
      <c r="E71" s="22" t="n">
        <v>92</v>
      </c>
      <c r="F71" s="19"/>
      <c r="G71" s="22" t="n">
        <v>612</v>
      </c>
      <c r="H71" s="19"/>
      <c r="I71" s="23" t="s">
        <v>27</v>
      </c>
      <c r="J71" s="19" t="s">
        <v>390</v>
      </c>
    </row>
    <row r="72" customFormat="false" ht="15" hidden="false" customHeight="false" outlineLevel="0" collapsed="false">
      <c r="A72" s="19" t="s">
        <v>246</v>
      </c>
      <c r="B72" s="19" t="s">
        <v>138</v>
      </c>
      <c r="C72" s="19" t="s">
        <v>367</v>
      </c>
      <c r="D72" s="19" t="s">
        <v>401</v>
      </c>
      <c r="E72" s="22" t="n">
        <v>925</v>
      </c>
      <c r="F72" s="19"/>
      <c r="G72" s="22" t="n">
        <v>600</v>
      </c>
      <c r="H72" s="19" t="n">
        <v>4.6</v>
      </c>
      <c r="I72" s="23" t="s">
        <v>27</v>
      </c>
      <c r="J72" s="19" t="s">
        <v>372</v>
      </c>
    </row>
    <row r="73" customFormat="false" ht="15" hidden="false" customHeight="false" outlineLevel="0" collapsed="false">
      <c r="A73" s="19" t="s">
        <v>246</v>
      </c>
      <c r="B73" s="19" t="s">
        <v>138</v>
      </c>
      <c r="C73" s="19" t="s">
        <v>319</v>
      </c>
      <c r="D73" s="19" t="s">
        <v>402</v>
      </c>
      <c r="E73" s="22" t="n">
        <v>173</v>
      </c>
      <c r="F73" s="19"/>
      <c r="G73" s="22" t="n">
        <v>600</v>
      </c>
      <c r="H73" s="19" t="n">
        <v>4.9</v>
      </c>
      <c r="I73" s="23" t="s">
        <v>27</v>
      </c>
      <c r="J73" s="19" t="s">
        <v>323</v>
      </c>
    </row>
    <row r="74" customFormat="false" ht="15" hidden="false" customHeight="false" outlineLevel="0" collapsed="false">
      <c r="A74" s="19" t="s">
        <v>332</v>
      </c>
      <c r="B74" s="19" t="s">
        <v>138</v>
      </c>
      <c r="C74" s="19" t="s">
        <v>319</v>
      </c>
      <c r="D74" s="19" t="s">
        <v>403</v>
      </c>
      <c r="E74" s="22" t="n">
        <v>880</v>
      </c>
      <c r="F74" s="19"/>
      <c r="G74" s="22" t="n">
        <v>600</v>
      </c>
      <c r="H74" s="19" t="n">
        <v>4.6</v>
      </c>
      <c r="I74" s="23" t="s">
        <v>27</v>
      </c>
      <c r="J74" s="19" t="s">
        <v>323</v>
      </c>
    </row>
    <row r="75" customFormat="false" ht="15" hidden="false" customHeight="false" outlineLevel="0" collapsed="false">
      <c r="A75" s="19" t="s">
        <v>246</v>
      </c>
      <c r="B75" s="19" t="s">
        <v>138</v>
      </c>
      <c r="C75" s="19" t="s">
        <v>319</v>
      </c>
      <c r="D75" s="19" t="s">
        <v>404</v>
      </c>
      <c r="E75" s="22" t="n">
        <v>793</v>
      </c>
      <c r="F75" s="19"/>
      <c r="G75" s="22" t="n">
        <v>600</v>
      </c>
      <c r="H75" s="19" t="n">
        <v>4.7</v>
      </c>
      <c r="I75" s="23" t="s">
        <v>27</v>
      </c>
      <c r="J75" s="19" t="s">
        <v>326</v>
      </c>
    </row>
    <row r="76" customFormat="false" ht="15" hidden="false" customHeight="false" outlineLevel="0" collapsed="false">
      <c r="A76" s="19" t="s">
        <v>332</v>
      </c>
      <c r="B76" s="19" t="s">
        <v>138</v>
      </c>
      <c r="C76" s="19" t="s">
        <v>319</v>
      </c>
      <c r="D76" s="19" t="s">
        <v>405</v>
      </c>
      <c r="E76" s="22" t="n">
        <v>1298</v>
      </c>
      <c r="F76" s="19" t="n">
        <v>1.09</v>
      </c>
      <c r="G76" s="22" t="n">
        <v>600</v>
      </c>
      <c r="H76" s="19" t="n">
        <v>4.3</v>
      </c>
      <c r="I76" s="23" t="s">
        <v>27</v>
      </c>
      <c r="J76" s="19" t="s">
        <v>326</v>
      </c>
    </row>
    <row r="77" customFormat="false" ht="15" hidden="false" customHeight="false" outlineLevel="0" collapsed="false">
      <c r="A77" s="19" t="s">
        <v>246</v>
      </c>
      <c r="B77" s="19" t="s">
        <v>138</v>
      </c>
      <c r="C77" s="19" t="s">
        <v>319</v>
      </c>
      <c r="D77" s="19" t="s">
        <v>406</v>
      </c>
      <c r="E77" s="22" t="n">
        <v>530</v>
      </c>
      <c r="F77" s="19"/>
      <c r="G77" s="22" t="n">
        <v>600</v>
      </c>
      <c r="H77" s="19" t="n">
        <v>4.8</v>
      </c>
      <c r="I77" s="23" t="s">
        <v>27</v>
      </c>
      <c r="J77" s="19" t="s">
        <v>321</v>
      </c>
    </row>
    <row r="78" customFormat="false" ht="15" hidden="false" customHeight="false" outlineLevel="0" collapsed="false">
      <c r="A78" s="19" t="s">
        <v>249</v>
      </c>
      <c r="B78" s="19" t="s">
        <v>138</v>
      </c>
      <c r="C78" s="19" t="s">
        <v>319</v>
      </c>
      <c r="D78" s="19" t="s">
        <v>407</v>
      </c>
      <c r="E78" s="22" t="n">
        <v>2117</v>
      </c>
      <c r="F78" s="19" t="n">
        <v>5.82</v>
      </c>
      <c r="G78" s="22" t="n">
        <v>600</v>
      </c>
      <c r="H78" s="19" t="n">
        <v>4.4</v>
      </c>
      <c r="I78" s="23" t="s">
        <v>27</v>
      </c>
      <c r="J78" s="19" t="s">
        <v>330</v>
      </c>
    </row>
    <row r="79" customFormat="false" ht="15" hidden="false" customHeight="false" outlineLevel="0" collapsed="false">
      <c r="A79" s="19" t="s">
        <v>249</v>
      </c>
      <c r="B79" s="19" t="s">
        <v>138</v>
      </c>
      <c r="C79" s="19" t="s">
        <v>319</v>
      </c>
      <c r="D79" s="19" t="s">
        <v>408</v>
      </c>
      <c r="E79" s="22" t="n">
        <v>1479</v>
      </c>
      <c r="F79" s="19" t="n">
        <v>11.56</v>
      </c>
      <c r="G79" s="22" t="n">
        <v>600</v>
      </c>
      <c r="H79" s="19" t="n">
        <v>4.7</v>
      </c>
      <c r="I79" s="23" t="s">
        <v>27</v>
      </c>
      <c r="J79" s="19" t="s">
        <v>330</v>
      </c>
    </row>
    <row r="80" customFormat="false" ht="15" hidden="false" customHeight="false" outlineLevel="0" collapsed="false">
      <c r="A80" s="19" t="s">
        <v>249</v>
      </c>
      <c r="B80" s="19" t="s">
        <v>138</v>
      </c>
      <c r="C80" s="19" t="s">
        <v>319</v>
      </c>
      <c r="D80" s="19" t="s">
        <v>409</v>
      </c>
      <c r="E80" s="22" t="n">
        <v>1419</v>
      </c>
      <c r="F80" s="19"/>
      <c r="G80" s="22" t="n">
        <v>600</v>
      </c>
      <c r="H80" s="19" t="n">
        <v>4.9</v>
      </c>
      <c r="I80" s="23" t="s">
        <v>27</v>
      </c>
      <c r="J80" s="19" t="s">
        <v>330</v>
      </c>
    </row>
    <row r="81" customFormat="false" ht="15" hidden="false" customHeight="false" outlineLevel="0" collapsed="false">
      <c r="A81" s="19" t="s">
        <v>252</v>
      </c>
      <c r="B81" s="19" t="s">
        <v>138</v>
      </c>
      <c r="C81" s="19" t="s">
        <v>319</v>
      </c>
      <c r="D81" s="19" t="s">
        <v>410</v>
      </c>
      <c r="E81" s="22" t="n">
        <v>92</v>
      </c>
      <c r="F81" s="19"/>
      <c r="G81" s="22" t="n">
        <v>592</v>
      </c>
      <c r="H81" s="19"/>
      <c r="I81" s="23" t="s">
        <v>27</v>
      </c>
      <c r="J81" s="19" t="s">
        <v>390</v>
      </c>
    </row>
    <row r="82" customFormat="false" ht="15" hidden="false" customHeight="false" outlineLevel="0" collapsed="false">
      <c r="A82" s="19" t="s">
        <v>252</v>
      </c>
      <c r="B82" s="19" t="s">
        <v>138</v>
      </c>
      <c r="C82" s="19" t="s">
        <v>319</v>
      </c>
      <c r="D82" s="19" t="s">
        <v>411</v>
      </c>
      <c r="E82" s="22" t="n">
        <v>1027</v>
      </c>
      <c r="F82" s="19"/>
      <c r="G82" s="22" t="n">
        <v>557</v>
      </c>
      <c r="H82" s="19"/>
      <c r="I82" s="23" t="s">
        <v>27</v>
      </c>
      <c r="J82" s="19" t="s">
        <v>390</v>
      </c>
    </row>
    <row r="83" customFormat="false" ht="15" hidden="false" customHeight="false" outlineLevel="0" collapsed="false">
      <c r="A83" s="19" t="s">
        <v>252</v>
      </c>
      <c r="B83" s="19" t="s">
        <v>272</v>
      </c>
      <c r="C83" s="19" t="s">
        <v>365</v>
      </c>
      <c r="D83" s="19" t="s">
        <v>412</v>
      </c>
      <c r="E83" s="22" t="n">
        <v>930</v>
      </c>
      <c r="F83" s="19" t="n">
        <v>4.57</v>
      </c>
      <c r="G83" s="22" t="n">
        <v>500</v>
      </c>
      <c r="H83" s="19" t="n">
        <v>4.7</v>
      </c>
      <c r="I83" s="23" t="s">
        <v>27</v>
      </c>
      <c r="J83" s="19" t="s">
        <v>318</v>
      </c>
    </row>
    <row r="84" customFormat="false" ht="15" hidden="false" customHeight="false" outlineLevel="0" collapsed="false">
      <c r="A84" s="19" t="s">
        <v>252</v>
      </c>
      <c r="B84" s="19" t="s">
        <v>272</v>
      </c>
      <c r="C84" s="19" t="s">
        <v>365</v>
      </c>
      <c r="D84" s="19" t="s">
        <v>413</v>
      </c>
      <c r="E84" s="22" t="n">
        <v>986</v>
      </c>
      <c r="F84" s="19" t="n">
        <v>1.85</v>
      </c>
      <c r="G84" s="22" t="n">
        <v>500</v>
      </c>
      <c r="H84" s="19" t="n">
        <v>4.8</v>
      </c>
      <c r="I84" s="23" t="s">
        <v>27</v>
      </c>
      <c r="J84" s="19" t="s">
        <v>414</v>
      </c>
    </row>
    <row r="85" customFormat="false" ht="15" hidden="false" customHeight="false" outlineLevel="0" collapsed="false">
      <c r="A85" s="19" t="s">
        <v>246</v>
      </c>
      <c r="B85" s="19" t="s">
        <v>138</v>
      </c>
      <c r="C85" s="19" t="s">
        <v>319</v>
      </c>
      <c r="D85" s="19" t="s">
        <v>415</v>
      </c>
      <c r="E85" s="22" t="n">
        <v>1018</v>
      </c>
      <c r="F85" s="19" t="n">
        <v>6.09</v>
      </c>
      <c r="G85" s="22" t="n">
        <v>500</v>
      </c>
      <c r="H85" s="19" t="n">
        <v>4.8</v>
      </c>
      <c r="I85" s="23" t="s">
        <v>27</v>
      </c>
      <c r="J85" s="19" t="s">
        <v>326</v>
      </c>
    </row>
    <row r="86" customFormat="false" ht="15" hidden="false" customHeight="false" outlineLevel="0" collapsed="false">
      <c r="A86" s="19" t="s">
        <v>249</v>
      </c>
      <c r="B86" s="19" t="s">
        <v>138</v>
      </c>
      <c r="C86" s="19" t="s">
        <v>367</v>
      </c>
      <c r="D86" s="19" t="s">
        <v>416</v>
      </c>
      <c r="E86" s="22" t="n">
        <v>922</v>
      </c>
      <c r="F86" s="19"/>
      <c r="G86" s="22" t="n">
        <v>500</v>
      </c>
      <c r="H86" s="19" t="n">
        <v>3.3</v>
      </c>
      <c r="I86" s="23" t="s">
        <v>27</v>
      </c>
      <c r="J86" s="19" t="s">
        <v>351</v>
      </c>
    </row>
    <row r="87" customFormat="false" ht="15" hidden="false" customHeight="false" outlineLevel="0" collapsed="false">
      <c r="A87" s="19" t="s">
        <v>246</v>
      </c>
      <c r="B87" s="19" t="s">
        <v>138</v>
      </c>
      <c r="C87" s="19" t="s">
        <v>319</v>
      </c>
      <c r="D87" s="19" t="s">
        <v>417</v>
      </c>
      <c r="E87" s="22" t="n">
        <v>1644</v>
      </c>
      <c r="F87" s="19" t="n">
        <v>13.53</v>
      </c>
      <c r="G87" s="22" t="n">
        <v>500</v>
      </c>
      <c r="H87" s="19" t="n">
        <v>4.9</v>
      </c>
      <c r="I87" s="23" t="s">
        <v>27</v>
      </c>
      <c r="J87" s="19" t="s">
        <v>321</v>
      </c>
    </row>
    <row r="88" customFormat="false" ht="15" hidden="false" customHeight="false" outlineLevel="0" collapsed="false">
      <c r="A88" s="19" t="s">
        <v>246</v>
      </c>
      <c r="B88" s="19" t="s">
        <v>138</v>
      </c>
      <c r="C88" s="19" t="s">
        <v>319</v>
      </c>
      <c r="D88" s="19" t="s">
        <v>418</v>
      </c>
      <c r="E88" s="22" t="n">
        <v>539</v>
      </c>
      <c r="F88" s="19"/>
      <c r="G88" s="22" t="n">
        <v>500</v>
      </c>
      <c r="H88" s="19" t="n">
        <v>4.7</v>
      </c>
      <c r="I88" s="23" t="s">
        <v>27</v>
      </c>
      <c r="J88" s="19" t="s">
        <v>321</v>
      </c>
    </row>
    <row r="89" customFormat="false" ht="15" hidden="false" customHeight="false" outlineLevel="0" collapsed="false">
      <c r="A89" s="19" t="s">
        <v>246</v>
      </c>
      <c r="B89" s="19" t="s">
        <v>138</v>
      </c>
      <c r="C89" s="19" t="s">
        <v>367</v>
      </c>
      <c r="D89" s="19" t="s">
        <v>419</v>
      </c>
      <c r="E89" s="22" t="n">
        <v>1154</v>
      </c>
      <c r="F89" s="19" t="n">
        <v>0.99</v>
      </c>
      <c r="G89" s="22" t="n">
        <v>493</v>
      </c>
      <c r="H89" s="19" t="n">
        <v>4.2</v>
      </c>
      <c r="I89" s="23" t="s">
        <v>27</v>
      </c>
      <c r="J89" s="19" t="s">
        <v>323</v>
      </c>
    </row>
    <row r="90" customFormat="false" ht="15" hidden="false" customHeight="false" outlineLevel="0" collapsed="false">
      <c r="A90" s="19" t="s">
        <v>246</v>
      </c>
      <c r="B90" s="19" t="s">
        <v>138</v>
      </c>
      <c r="C90" s="19" t="s">
        <v>319</v>
      </c>
      <c r="D90" s="19" t="s">
        <v>420</v>
      </c>
      <c r="E90" s="22" t="n">
        <v>2020</v>
      </c>
      <c r="F90" s="19" t="n">
        <v>5.28</v>
      </c>
      <c r="G90" s="22" t="n">
        <v>490</v>
      </c>
      <c r="H90" s="19" t="n">
        <v>4.8</v>
      </c>
      <c r="I90" s="23" t="s">
        <v>27</v>
      </c>
      <c r="J90" s="19" t="s">
        <v>321</v>
      </c>
    </row>
    <row r="91" customFormat="false" ht="15" hidden="false" customHeight="false" outlineLevel="0" collapsed="false">
      <c r="A91" s="19" t="s">
        <v>246</v>
      </c>
      <c r="B91" s="19" t="s">
        <v>138</v>
      </c>
      <c r="C91" s="19" t="s">
        <v>367</v>
      </c>
      <c r="D91" s="19" t="s">
        <v>421</v>
      </c>
      <c r="E91" s="22" t="n">
        <v>1713</v>
      </c>
      <c r="F91" s="19" t="n">
        <v>3.56</v>
      </c>
      <c r="G91" s="22" t="n">
        <v>489</v>
      </c>
      <c r="H91" s="19" t="n">
        <v>4.5</v>
      </c>
      <c r="I91" s="23" t="s">
        <v>27</v>
      </c>
      <c r="J91" s="19" t="s">
        <v>422</v>
      </c>
    </row>
    <row r="92" customFormat="false" ht="15" hidden="false" customHeight="false" outlineLevel="0" collapsed="false">
      <c r="A92" s="19" t="s">
        <v>252</v>
      </c>
      <c r="B92" s="19" t="s">
        <v>138</v>
      </c>
      <c r="C92" s="19" t="s">
        <v>367</v>
      </c>
      <c r="D92" s="19" t="s">
        <v>423</v>
      </c>
      <c r="E92" s="22" t="n">
        <v>666</v>
      </c>
      <c r="F92" s="19" t="n">
        <v>0.99</v>
      </c>
      <c r="G92" s="22" t="n">
        <v>486</v>
      </c>
      <c r="H92" s="19" t="n">
        <v>4.9</v>
      </c>
      <c r="I92" s="23" t="s">
        <v>27</v>
      </c>
      <c r="J92" s="19" t="s">
        <v>364</v>
      </c>
    </row>
    <row r="93" customFormat="false" ht="15" hidden="false" customHeight="false" outlineLevel="0" collapsed="false">
      <c r="A93" s="19" t="s">
        <v>332</v>
      </c>
      <c r="B93" s="19" t="s">
        <v>138</v>
      </c>
      <c r="C93" s="19" t="s">
        <v>319</v>
      </c>
      <c r="D93" s="19" t="s">
        <v>424</v>
      </c>
      <c r="E93" s="22" t="n">
        <v>874</v>
      </c>
      <c r="F93" s="19" t="n">
        <v>0.99</v>
      </c>
      <c r="G93" s="22" t="n">
        <v>473</v>
      </c>
      <c r="H93" s="19" t="n">
        <v>4.2</v>
      </c>
      <c r="I93" s="23" t="s">
        <v>27</v>
      </c>
      <c r="J93" s="19" t="s">
        <v>323</v>
      </c>
    </row>
    <row r="94" customFormat="false" ht="15" hidden="false" customHeight="false" outlineLevel="0" collapsed="false">
      <c r="A94" s="19" t="s">
        <v>252</v>
      </c>
      <c r="B94" s="19" t="s">
        <v>138</v>
      </c>
      <c r="C94" s="19" t="s">
        <v>319</v>
      </c>
      <c r="D94" s="19" t="s">
        <v>425</v>
      </c>
      <c r="E94" s="22" t="n">
        <v>420</v>
      </c>
      <c r="F94" s="19"/>
      <c r="G94" s="22" t="n">
        <v>459</v>
      </c>
      <c r="H94" s="19" t="n">
        <v>4.4</v>
      </c>
      <c r="I94" s="23" t="s">
        <v>27</v>
      </c>
      <c r="J94" s="19" t="s">
        <v>345</v>
      </c>
    </row>
    <row r="95" customFormat="false" ht="15" hidden="false" customHeight="false" outlineLevel="0" collapsed="false">
      <c r="A95" s="19" t="s">
        <v>246</v>
      </c>
      <c r="B95" s="19" t="s">
        <v>138</v>
      </c>
      <c r="C95" s="19" t="s">
        <v>319</v>
      </c>
      <c r="D95" s="19" t="s">
        <v>426</v>
      </c>
      <c r="E95" s="22" t="n">
        <v>912</v>
      </c>
      <c r="F95" s="19"/>
      <c r="G95" s="22" t="n">
        <v>457</v>
      </c>
      <c r="H95" s="19" t="n">
        <v>4.9</v>
      </c>
      <c r="I95" s="23" t="s">
        <v>27</v>
      </c>
      <c r="J95" s="19" t="s">
        <v>321</v>
      </c>
    </row>
    <row r="96" customFormat="false" ht="15" hidden="false" customHeight="false" outlineLevel="0" collapsed="false">
      <c r="A96" s="19" t="s">
        <v>249</v>
      </c>
      <c r="B96" s="19" t="s">
        <v>138</v>
      </c>
      <c r="C96" s="19" t="s">
        <v>367</v>
      </c>
      <c r="D96" s="19" t="s">
        <v>427</v>
      </c>
      <c r="E96" s="22" t="n">
        <v>1746</v>
      </c>
      <c r="F96" s="19"/>
      <c r="G96" s="22" t="n">
        <v>442</v>
      </c>
      <c r="H96" s="19" t="n">
        <v>4.3</v>
      </c>
      <c r="I96" s="23" t="s">
        <v>27</v>
      </c>
      <c r="J96" s="19" t="s">
        <v>428</v>
      </c>
    </row>
    <row r="97" customFormat="false" ht="15" hidden="false" customHeight="false" outlineLevel="0" collapsed="false">
      <c r="A97" s="19" t="s">
        <v>246</v>
      </c>
      <c r="B97" s="19" t="s">
        <v>267</v>
      </c>
      <c r="C97" s="19" t="s">
        <v>365</v>
      </c>
      <c r="D97" s="19" t="s">
        <v>429</v>
      </c>
      <c r="E97" s="22" t="n">
        <v>437</v>
      </c>
      <c r="F97" s="19" t="n">
        <v>1.09</v>
      </c>
      <c r="G97" s="22" t="n">
        <v>440</v>
      </c>
      <c r="H97" s="19" t="n">
        <v>4.6</v>
      </c>
      <c r="I97" s="23" t="s">
        <v>27</v>
      </c>
      <c r="J97" s="19" t="s">
        <v>430</v>
      </c>
    </row>
    <row r="98" customFormat="false" ht="15" hidden="false" customHeight="false" outlineLevel="0" collapsed="false">
      <c r="A98" s="19" t="s">
        <v>252</v>
      </c>
      <c r="B98" s="19" t="s">
        <v>138</v>
      </c>
      <c r="C98" s="19" t="s">
        <v>319</v>
      </c>
      <c r="D98" s="19" t="s">
        <v>431</v>
      </c>
      <c r="E98" s="22" t="n">
        <v>1276</v>
      </c>
      <c r="F98" s="19"/>
      <c r="G98" s="22" t="n">
        <v>438</v>
      </c>
      <c r="H98" s="19" t="n">
        <v>4.7</v>
      </c>
      <c r="I98" s="23" t="s">
        <v>27</v>
      </c>
      <c r="J98" s="19" t="s">
        <v>339</v>
      </c>
    </row>
    <row r="99" customFormat="false" ht="15" hidden="false" customHeight="false" outlineLevel="0" collapsed="false">
      <c r="A99" s="19" t="s">
        <v>246</v>
      </c>
      <c r="B99" s="19" t="s">
        <v>138</v>
      </c>
      <c r="C99" s="19" t="s">
        <v>319</v>
      </c>
      <c r="D99" s="19" t="s">
        <v>432</v>
      </c>
      <c r="E99" s="22" t="n">
        <v>1699</v>
      </c>
      <c r="F99" s="19" t="n">
        <v>4.48</v>
      </c>
      <c r="G99" s="22" t="n">
        <v>438</v>
      </c>
      <c r="H99" s="19" t="n">
        <v>4.7</v>
      </c>
      <c r="I99" s="23" t="s">
        <v>27</v>
      </c>
      <c r="J99" s="19" t="s">
        <v>321</v>
      </c>
    </row>
    <row r="100" customFormat="false" ht="15" hidden="false" customHeight="false" outlineLevel="0" collapsed="false">
      <c r="A100" s="19" t="s">
        <v>246</v>
      </c>
      <c r="B100" s="19" t="s">
        <v>277</v>
      </c>
      <c r="C100" s="19" t="s">
        <v>365</v>
      </c>
      <c r="D100" s="19" t="s">
        <v>433</v>
      </c>
      <c r="E100" s="22" t="n">
        <v>442</v>
      </c>
      <c r="F100" s="19"/>
      <c r="G100" s="22" t="n">
        <v>437</v>
      </c>
      <c r="H100" s="19" t="n">
        <v>4.5</v>
      </c>
      <c r="I100" s="23" t="s">
        <v>27</v>
      </c>
      <c r="J100" s="19" t="s">
        <v>372</v>
      </c>
    </row>
    <row r="101" customFormat="false" ht="15" hidden="false" customHeight="false" outlineLevel="0" collapsed="false">
      <c r="A101" s="19" t="s">
        <v>246</v>
      </c>
      <c r="B101" s="19" t="s">
        <v>138</v>
      </c>
      <c r="C101" s="19" t="s">
        <v>319</v>
      </c>
      <c r="D101" s="19" t="s">
        <v>434</v>
      </c>
      <c r="E101" s="22" t="n">
        <v>742</v>
      </c>
      <c r="F101" s="19" t="n">
        <v>2.81</v>
      </c>
      <c r="G101" s="22" t="n">
        <v>433</v>
      </c>
      <c r="H101" s="19" t="n">
        <v>4.9</v>
      </c>
      <c r="I101" s="23" t="s">
        <v>27</v>
      </c>
      <c r="J101" s="19" t="s">
        <v>321</v>
      </c>
    </row>
    <row r="102" customFormat="false" ht="15" hidden="false" customHeight="false" outlineLevel="0" collapsed="false">
      <c r="A102" s="19" t="s">
        <v>246</v>
      </c>
      <c r="B102" s="19" t="s">
        <v>138</v>
      </c>
      <c r="C102" s="19" t="s">
        <v>319</v>
      </c>
      <c r="D102" s="19" t="s">
        <v>435</v>
      </c>
      <c r="E102" s="22" t="n">
        <v>1215</v>
      </c>
      <c r="F102" s="19" t="n">
        <v>8.43</v>
      </c>
      <c r="G102" s="22" t="n">
        <v>429</v>
      </c>
      <c r="H102" s="19" t="n">
        <v>4.9</v>
      </c>
      <c r="I102" s="23" t="s">
        <v>27</v>
      </c>
      <c r="J102" s="19" t="s">
        <v>321</v>
      </c>
    </row>
    <row r="103" customFormat="false" ht="15" hidden="false" customHeight="false" outlineLevel="0" collapsed="false">
      <c r="A103" s="19" t="s">
        <v>249</v>
      </c>
      <c r="B103" s="19" t="s">
        <v>138</v>
      </c>
      <c r="C103" s="19" t="s">
        <v>319</v>
      </c>
      <c r="D103" s="19" t="s">
        <v>436</v>
      </c>
      <c r="E103" s="22" t="n">
        <v>1788</v>
      </c>
      <c r="F103" s="19" t="n">
        <v>3.98</v>
      </c>
      <c r="G103" s="22" t="n">
        <v>414</v>
      </c>
      <c r="H103" s="19" t="n">
        <v>4.5</v>
      </c>
      <c r="I103" s="23" t="s">
        <v>27</v>
      </c>
      <c r="J103" s="19" t="s">
        <v>321</v>
      </c>
    </row>
    <row r="104" customFormat="false" ht="15" hidden="false" customHeight="false" outlineLevel="0" collapsed="false">
      <c r="A104" s="19" t="s">
        <v>252</v>
      </c>
      <c r="B104" s="19" t="s">
        <v>138</v>
      </c>
      <c r="C104" s="19" t="s">
        <v>319</v>
      </c>
      <c r="D104" s="19" t="s">
        <v>437</v>
      </c>
      <c r="E104" s="22" t="n">
        <v>1515</v>
      </c>
      <c r="F104" s="19"/>
      <c r="G104" s="22" t="n">
        <v>384</v>
      </c>
      <c r="H104" s="19" t="n">
        <v>4.9</v>
      </c>
      <c r="I104" s="23" t="s">
        <v>27</v>
      </c>
      <c r="J104" s="19" t="s">
        <v>339</v>
      </c>
    </row>
    <row r="105" customFormat="false" ht="15" hidden="false" customHeight="false" outlineLevel="0" collapsed="false">
      <c r="A105" s="19" t="s">
        <v>246</v>
      </c>
      <c r="B105" s="19" t="s">
        <v>138</v>
      </c>
      <c r="C105" s="19" t="s">
        <v>319</v>
      </c>
      <c r="D105" s="19" t="s">
        <v>438</v>
      </c>
      <c r="E105" s="22" t="n">
        <v>2012</v>
      </c>
      <c r="F105" s="19" t="n">
        <v>6.24</v>
      </c>
      <c r="G105" s="22" t="n">
        <v>382</v>
      </c>
      <c r="H105" s="19" t="n">
        <v>4.5</v>
      </c>
      <c r="I105" s="23" t="s">
        <v>27</v>
      </c>
      <c r="J105" s="19" t="s">
        <v>326</v>
      </c>
    </row>
    <row r="106" customFormat="false" ht="15" hidden="false" customHeight="false" outlineLevel="0" collapsed="false">
      <c r="A106" s="19" t="s">
        <v>252</v>
      </c>
      <c r="B106" s="19" t="s">
        <v>138</v>
      </c>
      <c r="C106" s="19" t="s">
        <v>319</v>
      </c>
      <c r="D106" s="19" t="s">
        <v>439</v>
      </c>
      <c r="E106" s="22" t="n">
        <v>495</v>
      </c>
      <c r="F106" s="19"/>
      <c r="G106" s="22" t="n">
        <v>371</v>
      </c>
      <c r="H106" s="19" t="n">
        <v>4.6</v>
      </c>
      <c r="I106" s="23" t="s">
        <v>27</v>
      </c>
      <c r="J106" s="19" t="s">
        <v>339</v>
      </c>
    </row>
    <row r="107" customFormat="false" ht="15" hidden="false" customHeight="false" outlineLevel="0" collapsed="false">
      <c r="A107" s="19" t="s">
        <v>252</v>
      </c>
      <c r="B107" s="19" t="s">
        <v>138</v>
      </c>
      <c r="C107" s="19" t="s">
        <v>367</v>
      </c>
      <c r="D107" s="19" t="s">
        <v>440</v>
      </c>
      <c r="E107" s="22" t="n">
        <v>131</v>
      </c>
      <c r="F107" s="19"/>
      <c r="G107" s="22" t="n">
        <v>371</v>
      </c>
      <c r="H107" s="19"/>
      <c r="I107" s="23" t="s">
        <v>27</v>
      </c>
      <c r="J107" s="19" t="s">
        <v>390</v>
      </c>
    </row>
    <row r="108" customFormat="false" ht="15" hidden="false" customHeight="false" outlineLevel="0" collapsed="false">
      <c r="A108" s="19" t="s">
        <v>246</v>
      </c>
      <c r="B108" s="19" t="s">
        <v>138</v>
      </c>
      <c r="C108" s="19" t="s">
        <v>319</v>
      </c>
      <c r="D108" s="19" t="s">
        <v>441</v>
      </c>
      <c r="E108" s="22" t="n">
        <v>4916</v>
      </c>
      <c r="F108" s="19" t="n">
        <v>22.61</v>
      </c>
      <c r="G108" s="22" t="n">
        <v>352</v>
      </c>
      <c r="H108" s="19" t="n">
        <v>4.7</v>
      </c>
      <c r="I108" s="23" t="s">
        <v>27</v>
      </c>
      <c r="J108" s="19" t="s">
        <v>321</v>
      </c>
    </row>
    <row r="109" customFormat="false" ht="15" hidden="false" customHeight="false" outlineLevel="0" collapsed="false">
      <c r="A109" s="19" t="s">
        <v>252</v>
      </c>
      <c r="B109" s="19" t="s">
        <v>138</v>
      </c>
      <c r="C109" s="19" t="s">
        <v>319</v>
      </c>
      <c r="D109" s="19" t="s">
        <v>442</v>
      </c>
      <c r="E109" s="22" t="n">
        <v>404</v>
      </c>
      <c r="F109" s="19" t="n">
        <v>1.09</v>
      </c>
      <c r="G109" s="22" t="n">
        <v>346</v>
      </c>
      <c r="H109" s="19" t="n">
        <v>4.6</v>
      </c>
      <c r="I109" s="23" t="s">
        <v>27</v>
      </c>
      <c r="J109" s="19" t="s">
        <v>339</v>
      </c>
    </row>
    <row r="110" customFormat="false" ht="15" hidden="false" customHeight="false" outlineLevel="0" collapsed="false">
      <c r="A110" s="19" t="s">
        <v>252</v>
      </c>
      <c r="B110" s="19" t="s">
        <v>138</v>
      </c>
      <c r="C110" s="19" t="s">
        <v>367</v>
      </c>
      <c r="D110" s="19" t="s">
        <v>443</v>
      </c>
      <c r="E110" s="22" t="n">
        <v>92</v>
      </c>
      <c r="F110" s="19"/>
      <c r="G110" s="22" t="n">
        <v>340</v>
      </c>
      <c r="H110" s="19"/>
      <c r="I110" s="23" t="s">
        <v>27</v>
      </c>
      <c r="J110" s="19" t="s">
        <v>390</v>
      </c>
    </row>
    <row r="111" customFormat="false" ht="15" hidden="false" customHeight="false" outlineLevel="0" collapsed="false">
      <c r="A111" s="19" t="s">
        <v>246</v>
      </c>
      <c r="B111" s="19" t="s">
        <v>138</v>
      </c>
      <c r="C111" s="19" t="s">
        <v>319</v>
      </c>
      <c r="D111" s="19" t="s">
        <v>444</v>
      </c>
      <c r="E111" s="22" t="n">
        <v>518</v>
      </c>
      <c r="F111" s="19"/>
      <c r="G111" s="22" t="n">
        <v>325</v>
      </c>
      <c r="H111" s="19" t="n">
        <v>4.6</v>
      </c>
      <c r="I111" s="23" t="s">
        <v>27</v>
      </c>
      <c r="J111" s="19" t="s">
        <v>321</v>
      </c>
    </row>
    <row r="112" customFormat="false" ht="15" hidden="false" customHeight="false" outlineLevel="0" collapsed="false">
      <c r="A112" s="19" t="s">
        <v>246</v>
      </c>
      <c r="B112" s="19" t="s">
        <v>138</v>
      </c>
      <c r="C112" s="19" t="s">
        <v>319</v>
      </c>
      <c r="D112" s="19" t="s">
        <v>445</v>
      </c>
      <c r="E112" s="22" t="n">
        <v>904</v>
      </c>
      <c r="F112" s="19" t="n">
        <v>4.74</v>
      </c>
      <c r="G112" s="22" t="n">
        <v>324</v>
      </c>
      <c r="H112" s="19" t="n">
        <v>4.9</v>
      </c>
      <c r="I112" s="23" t="s">
        <v>27</v>
      </c>
      <c r="J112" s="19" t="s">
        <v>321</v>
      </c>
    </row>
    <row r="113" customFormat="false" ht="15" hidden="false" customHeight="false" outlineLevel="0" collapsed="false">
      <c r="A113" s="19" t="s">
        <v>246</v>
      </c>
      <c r="B113" s="19" t="s">
        <v>138</v>
      </c>
      <c r="C113" s="19" t="s">
        <v>446</v>
      </c>
      <c r="D113" s="19" t="s">
        <v>447</v>
      </c>
      <c r="E113" s="22" t="n">
        <v>1926</v>
      </c>
      <c r="F113" s="19" t="n">
        <v>3.02</v>
      </c>
      <c r="G113" s="22" t="n">
        <v>310</v>
      </c>
      <c r="H113" s="19" t="n">
        <v>4.8</v>
      </c>
      <c r="I113" s="23" t="s">
        <v>27</v>
      </c>
      <c r="J113" s="19" t="s">
        <v>422</v>
      </c>
    </row>
    <row r="114" customFormat="false" ht="15" hidden="false" customHeight="false" outlineLevel="0" collapsed="false">
      <c r="A114" s="19" t="s">
        <v>252</v>
      </c>
      <c r="B114" s="19" t="s">
        <v>138</v>
      </c>
      <c r="C114" s="19" t="s">
        <v>319</v>
      </c>
      <c r="D114" s="19" t="s">
        <v>448</v>
      </c>
      <c r="E114" s="22" t="n">
        <v>504</v>
      </c>
      <c r="F114" s="19"/>
      <c r="G114" s="22" t="n">
        <v>297</v>
      </c>
      <c r="H114" s="19"/>
      <c r="I114" s="23" t="s">
        <v>27</v>
      </c>
      <c r="J114" s="19" t="s">
        <v>390</v>
      </c>
    </row>
    <row r="115" customFormat="false" ht="15" hidden="false" customHeight="false" outlineLevel="0" collapsed="false">
      <c r="A115" s="19" t="s">
        <v>252</v>
      </c>
      <c r="B115" s="19" t="s">
        <v>138</v>
      </c>
      <c r="C115" s="19" t="s">
        <v>319</v>
      </c>
      <c r="D115" s="19" t="s">
        <v>449</v>
      </c>
      <c r="E115" s="22" t="n">
        <v>302</v>
      </c>
      <c r="F115" s="19"/>
      <c r="G115" s="22" t="n">
        <v>296</v>
      </c>
      <c r="H115" s="19" t="n">
        <v>4.7</v>
      </c>
      <c r="I115" s="23" t="s">
        <v>27</v>
      </c>
      <c r="J115" s="19" t="s">
        <v>345</v>
      </c>
    </row>
    <row r="116" customFormat="false" ht="15" hidden="false" customHeight="false" outlineLevel="0" collapsed="false">
      <c r="A116" s="19" t="s">
        <v>252</v>
      </c>
      <c r="B116" s="19" t="s">
        <v>272</v>
      </c>
      <c r="C116" s="19" t="s">
        <v>365</v>
      </c>
      <c r="D116" s="19" t="s">
        <v>450</v>
      </c>
      <c r="E116" s="22" t="n">
        <v>925</v>
      </c>
      <c r="F116" s="19"/>
      <c r="G116" s="22" t="n">
        <v>294</v>
      </c>
      <c r="H116" s="19" t="n">
        <v>4.3</v>
      </c>
      <c r="I116" s="23" t="s">
        <v>27</v>
      </c>
      <c r="J116" s="19" t="s">
        <v>318</v>
      </c>
    </row>
    <row r="117" customFormat="false" ht="15" hidden="false" customHeight="false" outlineLevel="0" collapsed="false">
      <c r="A117" s="19" t="s">
        <v>252</v>
      </c>
      <c r="B117" s="19" t="s">
        <v>138</v>
      </c>
      <c r="C117" s="19" t="s">
        <v>319</v>
      </c>
      <c r="D117" s="19" t="s">
        <v>451</v>
      </c>
      <c r="E117" s="22" t="n">
        <v>850</v>
      </c>
      <c r="F117" s="19" t="n">
        <v>1.09</v>
      </c>
      <c r="G117" s="22" t="n">
        <v>294</v>
      </c>
      <c r="H117" s="19"/>
      <c r="I117" s="23" t="s">
        <v>27</v>
      </c>
      <c r="J117" s="19" t="s">
        <v>345</v>
      </c>
    </row>
    <row r="118" customFormat="false" ht="15" hidden="false" customHeight="false" outlineLevel="0" collapsed="false">
      <c r="A118" s="19" t="s">
        <v>252</v>
      </c>
      <c r="B118" s="19" t="s">
        <v>138</v>
      </c>
      <c r="C118" s="19" t="s">
        <v>319</v>
      </c>
      <c r="D118" s="19" t="s">
        <v>452</v>
      </c>
      <c r="E118" s="22" t="n">
        <v>525</v>
      </c>
      <c r="F118" s="19"/>
      <c r="G118" s="22" t="n">
        <v>288</v>
      </c>
      <c r="H118" s="19"/>
      <c r="I118" s="23" t="s">
        <v>27</v>
      </c>
      <c r="J118" s="19" t="s">
        <v>339</v>
      </c>
    </row>
    <row r="119" customFormat="false" ht="15" hidden="false" customHeight="false" outlineLevel="0" collapsed="false">
      <c r="A119" s="19" t="s">
        <v>252</v>
      </c>
      <c r="B119" s="19" t="s">
        <v>138</v>
      </c>
      <c r="C119" s="19" t="s">
        <v>319</v>
      </c>
      <c r="D119" s="19" t="s">
        <v>453</v>
      </c>
      <c r="E119" s="22" t="n">
        <v>1175</v>
      </c>
      <c r="F119" s="19" t="n">
        <v>6.83</v>
      </c>
      <c r="G119" s="22" t="n">
        <v>285</v>
      </c>
      <c r="H119" s="19" t="n">
        <v>4.8</v>
      </c>
      <c r="I119" s="23" t="s">
        <v>27</v>
      </c>
      <c r="J119" s="19" t="s">
        <v>345</v>
      </c>
    </row>
    <row r="120" customFormat="false" ht="15" hidden="false" customHeight="false" outlineLevel="0" collapsed="false">
      <c r="A120" s="19" t="s">
        <v>246</v>
      </c>
      <c r="B120" s="19" t="s">
        <v>138</v>
      </c>
      <c r="C120" s="19" t="s">
        <v>319</v>
      </c>
      <c r="D120" s="19" t="s">
        <v>454</v>
      </c>
      <c r="E120" s="22" t="n">
        <v>831</v>
      </c>
      <c r="F120" s="19"/>
      <c r="G120" s="22" t="n">
        <v>275</v>
      </c>
      <c r="H120" s="19"/>
      <c r="I120" s="23" t="s">
        <v>27</v>
      </c>
      <c r="J120" s="19" t="s">
        <v>321</v>
      </c>
    </row>
    <row r="121" customFormat="false" ht="15" hidden="false" customHeight="false" outlineLevel="0" collapsed="false">
      <c r="A121" s="19" t="s">
        <v>252</v>
      </c>
      <c r="B121" s="19" t="s">
        <v>272</v>
      </c>
      <c r="C121" s="19" t="s">
        <v>365</v>
      </c>
      <c r="D121" s="19" t="s">
        <v>455</v>
      </c>
      <c r="E121" s="22" t="n">
        <v>905</v>
      </c>
      <c r="F121" s="19" t="n">
        <v>5.75</v>
      </c>
      <c r="G121" s="22" t="n">
        <v>274</v>
      </c>
      <c r="H121" s="19" t="n">
        <v>4.5</v>
      </c>
      <c r="I121" s="23" t="s">
        <v>27</v>
      </c>
      <c r="J121" s="19" t="s">
        <v>370</v>
      </c>
    </row>
    <row r="122" customFormat="false" ht="15" hidden="false" customHeight="false" outlineLevel="0" collapsed="false">
      <c r="A122" s="19" t="s">
        <v>246</v>
      </c>
      <c r="B122" s="19" t="s">
        <v>138</v>
      </c>
      <c r="C122" s="19" t="s">
        <v>319</v>
      </c>
      <c r="D122" s="19" t="s">
        <v>456</v>
      </c>
      <c r="E122" s="22" t="n">
        <v>1021</v>
      </c>
      <c r="F122" s="19" t="n">
        <v>6.13</v>
      </c>
      <c r="G122" s="22" t="n">
        <v>271</v>
      </c>
      <c r="H122" s="19" t="n">
        <v>4.7</v>
      </c>
      <c r="I122" s="23" t="s">
        <v>27</v>
      </c>
      <c r="J122" s="19" t="s">
        <v>326</v>
      </c>
    </row>
    <row r="123" customFormat="false" ht="15" hidden="false" customHeight="false" outlineLevel="0" collapsed="false">
      <c r="A123" s="19" t="s">
        <v>246</v>
      </c>
      <c r="B123" s="19" t="s">
        <v>138</v>
      </c>
      <c r="C123" s="19" t="s">
        <v>319</v>
      </c>
      <c r="D123" s="19" t="s">
        <v>457</v>
      </c>
      <c r="E123" s="22" t="n">
        <v>487</v>
      </c>
      <c r="F123" s="19"/>
      <c r="G123" s="22" t="n">
        <v>267</v>
      </c>
      <c r="H123" s="19" t="n">
        <v>4.6</v>
      </c>
      <c r="I123" s="23" t="s">
        <v>27</v>
      </c>
      <c r="J123" s="19" t="s">
        <v>326</v>
      </c>
    </row>
    <row r="124" customFormat="false" ht="15" hidden="false" customHeight="false" outlineLevel="0" collapsed="false">
      <c r="A124" s="19" t="s">
        <v>252</v>
      </c>
      <c r="B124" s="19" t="s">
        <v>138</v>
      </c>
      <c r="C124" s="19" t="s">
        <v>319</v>
      </c>
      <c r="D124" s="19" t="s">
        <v>458</v>
      </c>
      <c r="E124" s="22" t="n">
        <v>305</v>
      </c>
      <c r="F124" s="19"/>
      <c r="G124" s="22" t="n">
        <v>261</v>
      </c>
      <c r="H124" s="19" t="n">
        <v>4.3</v>
      </c>
      <c r="I124" s="23" t="s">
        <v>27</v>
      </c>
      <c r="J124" s="19" t="s">
        <v>339</v>
      </c>
    </row>
    <row r="125" customFormat="false" ht="15" hidden="false" customHeight="false" outlineLevel="0" collapsed="false">
      <c r="A125" s="19" t="s">
        <v>252</v>
      </c>
      <c r="B125" s="19" t="s">
        <v>138</v>
      </c>
      <c r="C125" s="19" t="s">
        <v>319</v>
      </c>
      <c r="D125" s="19" t="s">
        <v>459</v>
      </c>
      <c r="E125" s="22" t="n">
        <v>1212</v>
      </c>
      <c r="F125" s="19" t="n">
        <v>7.26</v>
      </c>
      <c r="G125" s="22" t="n">
        <v>239</v>
      </c>
      <c r="H125" s="19" t="n">
        <v>4.7</v>
      </c>
      <c r="I125" s="23" t="s">
        <v>27</v>
      </c>
      <c r="J125" s="19" t="s">
        <v>345</v>
      </c>
    </row>
    <row r="126" customFormat="false" ht="15" hidden="false" customHeight="false" outlineLevel="0" collapsed="false">
      <c r="A126" s="19" t="s">
        <v>246</v>
      </c>
      <c r="B126" s="19" t="s">
        <v>138</v>
      </c>
      <c r="C126" s="19" t="s">
        <v>319</v>
      </c>
      <c r="D126" s="19" t="s">
        <v>460</v>
      </c>
      <c r="E126" s="22" t="n">
        <v>173</v>
      </c>
      <c r="F126" s="19"/>
      <c r="G126" s="22" t="n">
        <v>230</v>
      </c>
      <c r="H126" s="19" t="n">
        <v>4.5</v>
      </c>
      <c r="I126" s="23" t="s">
        <v>27</v>
      </c>
      <c r="J126" s="19" t="s">
        <v>323</v>
      </c>
    </row>
    <row r="127" customFormat="false" ht="15" hidden="false" customHeight="false" outlineLevel="0" collapsed="false">
      <c r="A127" s="19" t="s">
        <v>252</v>
      </c>
      <c r="B127" s="19" t="s">
        <v>138</v>
      </c>
      <c r="C127" s="19" t="s">
        <v>319</v>
      </c>
      <c r="D127" s="19" t="s">
        <v>461</v>
      </c>
      <c r="E127" s="22" t="n">
        <v>488</v>
      </c>
      <c r="F127" s="19"/>
      <c r="G127" s="22" t="n">
        <v>226</v>
      </c>
      <c r="H127" s="19"/>
      <c r="I127" s="23" t="s">
        <v>27</v>
      </c>
      <c r="J127" s="19" t="s">
        <v>390</v>
      </c>
    </row>
    <row r="128" customFormat="false" ht="15" hidden="false" customHeight="false" outlineLevel="0" collapsed="false">
      <c r="A128" s="19" t="s">
        <v>246</v>
      </c>
      <c r="B128" s="19" t="s">
        <v>277</v>
      </c>
      <c r="C128" s="19" t="s">
        <v>365</v>
      </c>
      <c r="D128" s="19" t="s">
        <v>462</v>
      </c>
      <c r="E128" s="22" t="n">
        <v>1863</v>
      </c>
      <c r="F128" s="19" t="n">
        <v>1.09</v>
      </c>
      <c r="G128" s="22" t="n">
        <v>215</v>
      </c>
      <c r="H128" s="19" t="n">
        <v>4.5</v>
      </c>
      <c r="I128" s="23" t="s">
        <v>27</v>
      </c>
      <c r="J128" s="19" t="s">
        <v>372</v>
      </c>
    </row>
    <row r="129" customFormat="false" ht="15" hidden="false" customHeight="false" outlineLevel="0" collapsed="false">
      <c r="A129" s="19" t="s">
        <v>252</v>
      </c>
      <c r="B129" s="19" t="s">
        <v>138</v>
      </c>
      <c r="C129" s="19" t="s">
        <v>319</v>
      </c>
      <c r="D129" s="19" t="s">
        <v>463</v>
      </c>
      <c r="E129" s="22" t="n">
        <v>351</v>
      </c>
      <c r="F129" s="19"/>
      <c r="G129" s="22" t="n">
        <v>215</v>
      </c>
      <c r="H129" s="19"/>
      <c r="I129" s="23" t="s">
        <v>27</v>
      </c>
      <c r="J129" s="19" t="s">
        <v>345</v>
      </c>
    </row>
    <row r="130" customFormat="false" ht="15" hidden="false" customHeight="false" outlineLevel="0" collapsed="false">
      <c r="A130" s="19" t="s">
        <v>252</v>
      </c>
      <c r="B130" s="19" t="s">
        <v>138</v>
      </c>
      <c r="C130" s="19" t="s">
        <v>319</v>
      </c>
      <c r="D130" s="19" t="s">
        <v>464</v>
      </c>
      <c r="E130" s="22" t="n">
        <v>554</v>
      </c>
      <c r="F130" s="19"/>
      <c r="G130" s="22" t="n">
        <v>208</v>
      </c>
      <c r="H130" s="19"/>
      <c r="I130" s="23" t="s">
        <v>27</v>
      </c>
      <c r="J130" s="19" t="s">
        <v>390</v>
      </c>
    </row>
    <row r="131" customFormat="false" ht="15" hidden="false" customHeight="false" outlineLevel="0" collapsed="false">
      <c r="A131" s="19" t="s">
        <v>332</v>
      </c>
      <c r="B131" s="19" t="s">
        <v>138</v>
      </c>
      <c r="C131" s="19" t="s">
        <v>367</v>
      </c>
      <c r="D131" s="19" t="s">
        <v>465</v>
      </c>
      <c r="E131" s="22" t="n">
        <v>1221</v>
      </c>
      <c r="F131" s="19" t="n">
        <v>0.99</v>
      </c>
      <c r="G131" s="22" t="n">
        <v>201</v>
      </c>
      <c r="H131" s="19" t="n">
        <v>3.6</v>
      </c>
      <c r="I131" s="23" t="s">
        <v>27</v>
      </c>
      <c r="J131" s="19" t="s">
        <v>364</v>
      </c>
    </row>
    <row r="132" customFormat="false" ht="15" hidden="false" customHeight="false" outlineLevel="0" collapsed="false">
      <c r="A132" s="19" t="s">
        <v>246</v>
      </c>
      <c r="B132" s="19" t="s">
        <v>138</v>
      </c>
      <c r="C132" s="19" t="s">
        <v>446</v>
      </c>
      <c r="D132" s="19" t="s">
        <v>466</v>
      </c>
      <c r="E132" s="22" t="n">
        <v>967</v>
      </c>
      <c r="F132" s="19"/>
      <c r="G132" s="22" t="n">
        <v>201</v>
      </c>
      <c r="H132" s="19" t="n">
        <v>3.7</v>
      </c>
      <c r="I132" s="23" t="s">
        <v>27</v>
      </c>
      <c r="J132" s="19" t="s">
        <v>372</v>
      </c>
    </row>
    <row r="133" customFormat="false" ht="15" hidden="false" customHeight="false" outlineLevel="0" collapsed="false">
      <c r="A133" s="19" t="s">
        <v>249</v>
      </c>
      <c r="B133" s="19" t="s">
        <v>138</v>
      </c>
      <c r="C133" s="19" t="s">
        <v>319</v>
      </c>
      <c r="D133" s="19" t="s">
        <v>467</v>
      </c>
      <c r="E133" s="22" t="n">
        <v>3165</v>
      </c>
      <c r="F133" s="19" t="n">
        <v>21.06</v>
      </c>
      <c r="G133" s="22" t="n">
        <v>199</v>
      </c>
      <c r="H133" s="19" t="n">
        <v>4.6</v>
      </c>
      <c r="I133" s="23" t="s">
        <v>27</v>
      </c>
      <c r="J133" s="19" t="s">
        <v>330</v>
      </c>
    </row>
    <row r="134" customFormat="false" ht="15" hidden="false" customHeight="false" outlineLevel="0" collapsed="false">
      <c r="A134" s="19" t="s">
        <v>246</v>
      </c>
      <c r="B134" s="19" t="s">
        <v>254</v>
      </c>
      <c r="C134" s="19" t="s">
        <v>365</v>
      </c>
      <c r="D134" s="19" t="s">
        <v>468</v>
      </c>
      <c r="E134" s="22" t="n">
        <v>1526</v>
      </c>
      <c r="F134" s="19" t="n">
        <v>1.09</v>
      </c>
      <c r="G134" s="22" t="n">
        <v>193</v>
      </c>
      <c r="H134" s="19"/>
      <c r="I134" s="23" t="s">
        <v>27</v>
      </c>
      <c r="J134" s="19" t="s">
        <v>351</v>
      </c>
    </row>
    <row r="135" customFormat="false" ht="15" hidden="false" customHeight="false" outlineLevel="0" collapsed="false">
      <c r="A135" s="19" t="s">
        <v>246</v>
      </c>
      <c r="B135" s="19" t="s">
        <v>138</v>
      </c>
      <c r="C135" s="19" t="s">
        <v>367</v>
      </c>
      <c r="D135" s="19" t="s">
        <v>469</v>
      </c>
      <c r="E135" s="22" t="n">
        <v>324</v>
      </c>
      <c r="F135" s="19"/>
      <c r="G135" s="22" t="n">
        <v>184</v>
      </c>
      <c r="H135" s="19" t="n">
        <v>4.5</v>
      </c>
      <c r="I135" s="23" t="s">
        <v>27</v>
      </c>
      <c r="J135" s="19" t="s">
        <v>430</v>
      </c>
    </row>
    <row r="136" customFormat="false" ht="15" hidden="false" customHeight="false" outlineLevel="0" collapsed="false">
      <c r="A136" s="19" t="s">
        <v>246</v>
      </c>
      <c r="B136" s="19" t="s">
        <v>254</v>
      </c>
      <c r="C136" s="19" t="s">
        <v>365</v>
      </c>
      <c r="D136" s="19" t="s">
        <v>470</v>
      </c>
      <c r="E136" s="22" t="n">
        <v>642</v>
      </c>
      <c r="F136" s="19"/>
      <c r="G136" s="22" t="n">
        <v>179</v>
      </c>
      <c r="H136" s="19" t="n">
        <v>4.6</v>
      </c>
      <c r="I136" s="23" t="s">
        <v>27</v>
      </c>
      <c r="J136" s="19" t="s">
        <v>372</v>
      </c>
    </row>
    <row r="137" customFormat="false" ht="15" hidden="false" customHeight="false" outlineLevel="0" collapsed="false">
      <c r="A137" s="19" t="s">
        <v>246</v>
      </c>
      <c r="B137" s="19" t="s">
        <v>138</v>
      </c>
      <c r="C137" s="19" t="s">
        <v>367</v>
      </c>
      <c r="D137" s="19" t="s">
        <v>471</v>
      </c>
      <c r="E137" s="22" t="n">
        <v>2721</v>
      </c>
      <c r="F137" s="19" t="n">
        <v>5.33</v>
      </c>
      <c r="G137" s="22" t="n">
        <v>171</v>
      </c>
      <c r="H137" s="19" t="n">
        <v>4.8</v>
      </c>
      <c r="I137" s="23" t="s">
        <v>27</v>
      </c>
      <c r="J137" s="19" t="s">
        <v>323</v>
      </c>
    </row>
    <row r="138" customFormat="false" ht="15" hidden="false" customHeight="false" outlineLevel="0" collapsed="false">
      <c r="A138" s="19" t="s">
        <v>246</v>
      </c>
      <c r="B138" s="19" t="s">
        <v>138</v>
      </c>
      <c r="C138" s="19" t="s">
        <v>319</v>
      </c>
      <c r="D138" s="19" t="s">
        <v>472</v>
      </c>
      <c r="E138" s="22" t="n">
        <v>494</v>
      </c>
      <c r="F138" s="19"/>
      <c r="G138" s="22" t="n">
        <v>171</v>
      </c>
      <c r="H138" s="19" t="n">
        <v>4.9</v>
      </c>
      <c r="I138" s="23" t="s">
        <v>27</v>
      </c>
      <c r="J138" s="19" t="s">
        <v>326</v>
      </c>
    </row>
    <row r="139" customFormat="false" ht="15" hidden="false" customHeight="false" outlineLevel="0" collapsed="false">
      <c r="A139" s="19" t="s">
        <v>249</v>
      </c>
      <c r="B139" s="19" t="s">
        <v>138</v>
      </c>
      <c r="C139" s="19" t="s">
        <v>319</v>
      </c>
      <c r="D139" s="19" t="s">
        <v>473</v>
      </c>
      <c r="E139" s="22" t="n">
        <v>1420</v>
      </c>
      <c r="F139" s="19" t="n">
        <v>10.87</v>
      </c>
      <c r="G139" s="22" t="n">
        <v>171</v>
      </c>
      <c r="H139" s="19" t="n">
        <v>4.9</v>
      </c>
      <c r="I139" s="23" t="s">
        <v>27</v>
      </c>
      <c r="J139" s="19" t="s">
        <v>330</v>
      </c>
    </row>
    <row r="140" customFormat="false" ht="15" hidden="false" customHeight="false" outlineLevel="0" collapsed="false">
      <c r="A140" s="19" t="s">
        <v>252</v>
      </c>
      <c r="B140" s="19" t="s">
        <v>272</v>
      </c>
      <c r="C140" s="19" t="s">
        <v>365</v>
      </c>
      <c r="D140" s="19" t="s">
        <v>474</v>
      </c>
      <c r="E140" s="22" t="n">
        <v>930</v>
      </c>
      <c r="F140" s="19" t="n">
        <v>1.09</v>
      </c>
      <c r="G140" s="22" t="n">
        <v>170</v>
      </c>
      <c r="H140" s="19" t="n">
        <v>4.7</v>
      </c>
      <c r="I140" s="23" t="s">
        <v>27</v>
      </c>
      <c r="J140" s="19" t="s">
        <v>318</v>
      </c>
    </row>
    <row r="141" customFormat="false" ht="15" hidden="false" customHeight="false" outlineLevel="0" collapsed="false">
      <c r="A141" s="19" t="s">
        <v>252</v>
      </c>
      <c r="B141" s="19" t="s">
        <v>272</v>
      </c>
      <c r="C141" s="19" t="s">
        <v>365</v>
      </c>
      <c r="D141" s="19" t="s">
        <v>475</v>
      </c>
      <c r="E141" s="22" t="n">
        <v>935</v>
      </c>
      <c r="F141" s="19" t="n">
        <v>6.11</v>
      </c>
      <c r="G141" s="22" t="n">
        <v>170</v>
      </c>
      <c r="H141" s="19" t="n">
        <v>4.1</v>
      </c>
      <c r="I141" s="23" t="s">
        <v>27</v>
      </c>
      <c r="J141" s="19" t="s">
        <v>370</v>
      </c>
    </row>
    <row r="142" customFormat="false" ht="15" hidden="false" customHeight="false" outlineLevel="0" collapsed="false">
      <c r="A142" s="19" t="s">
        <v>246</v>
      </c>
      <c r="B142" s="19" t="s">
        <v>138</v>
      </c>
      <c r="C142" s="19" t="s">
        <v>367</v>
      </c>
      <c r="D142" s="24" t="s">
        <v>476</v>
      </c>
      <c r="E142" s="22" t="n">
        <v>1841</v>
      </c>
      <c r="F142" s="19" t="n">
        <v>1.09</v>
      </c>
      <c r="G142" s="22" t="n">
        <v>170</v>
      </c>
      <c r="H142" s="19" t="n">
        <v>4.5</v>
      </c>
      <c r="I142" s="23" t="s">
        <v>27</v>
      </c>
      <c r="J142" s="19" t="s">
        <v>372</v>
      </c>
    </row>
    <row r="143" customFormat="false" ht="15" hidden="false" customHeight="false" outlineLevel="0" collapsed="false">
      <c r="A143" s="19" t="s">
        <v>252</v>
      </c>
      <c r="B143" s="19" t="s">
        <v>138</v>
      </c>
      <c r="C143" s="19" t="s">
        <v>319</v>
      </c>
      <c r="D143" s="19" t="s">
        <v>477</v>
      </c>
      <c r="E143" s="22" t="n">
        <v>621</v>
      </c>
      <c r="F143" s="19"/>
      <c r="G143" s="22" t="n">
        <v>168</v>
      </c>
      <c r="H143" s="19" t="n">
        <v>4.7</v>
      </c>
      <c r="I143" s="23" t="s">
        <v>27</v>
      </c>
      <c r="J143" s="19" t="s">
        <v>345</v>
      </c>
    </row>
    <row r="144" customFormat="false" ht="15" hidden="false" customHeight="false" outlineLevel="0" collapsed="false">
      <c r="A144" s="19" t="s">
        <v>249</v>
      </c>
      <c r="B144" s="19" t="s">
        <v>138</v>
      </c>
      <c r="C144" s="19" t="s">
        <v>367</v>
      </c>
      <c r="D144" s="19" t="s">
        <v>478</v>
      </c>
      <c r="E144" s="22" t="n">
        <v>723</v>
      </c>
      <c r="F144" s="19"/>
      <c r="G144" s="22" t="n">
        <v>167</v>
      </c>
      <c r="H144" s="19" t="n">
        <v>3.6</v>
      </c>
      <c r="I144" s="23" t="s">
        <v>27</v>
      </c>
      <c r="J144" s="19" t="s">
        <v>479</v>
      </c>
    </row>
    <row r="145" customFormat="false" ht="15" hidden="false" customHeight="false" outlineLevel="0" collapsed="false">
      <c r="A145" s="19" t="s">
        <v>249</v>
      </c>
      <c r="B145" s="19" t="s">
        <v>138</v>
      </c>
      <c r="C145" s="19" t="s">
        <v>367</v>
      </c>
      <c r="D145" s="19" t="s">
        <v>480</v>
      </c>
      <c r="E145" s="22" t="n">
        <v>1708</v>
      </c>
      <c r="F145" s="19" t="n">
        <v>3.74</v>
      </c>
      <c r="G145" s="22" t="n">
        <v>166</v>
      </c>
      <c r="H145" s="19" t="n">
        <v>4.6</v>
      </c>
      <c r="I145" s="23" t="s">
        <v>27</v>
      </c>
      <c r="J145" s="19" t="s">
        <v>370</v>
      </c>
    </row>
    <row r="146" customFormat="false" ht="15" hidden="false" customHeight="false" outlineLevel="0" collapsed="false">
      <c r="A146" s="19" t="s">
        <v>252</v>
      </c>
      <c r="B146" s="19" t="s">
        <v>138</v>
      </c>
      <c r="C146" s="19" t="s">
        <v>319</v>
      </c>
      <c r="D146" s="19" t="s">
        <v>481</v>
      </c>
      <c r="E146" s="22" t="n">
        <v>1494</v>
      </c>
      <c r="F146" s="19"/>
      <c r="G146" s="22" t="n">
        <v>165</v>
      </c>
      <c r="H146" s="19"/>
      <c r="I146" s="23" t="s">
        <v>27</v>
      </c>
      <c r="J146" s="19" t="s">
        <v>390</v>
      </c>
    </row>
    <row r="147" customFormat="false" ht="15" hidden="false" customHeight="false" outlineLevel="0" collapsed="false">
      <c r="A147" s="19" t="s">
        <v>249</v>
      </c>
      <c r="B147" s="19" t="s">
        <v>138</v>
      </c>
      <c r="C147" s="19" t="s">
        <v>319</v>
      </c>
      <c r="D147" s="19" t="s">
        <v>482</v>
      </c>
      <c r="E147" s="22" t="n">
        <v>2649</v>
      </c>
      <c r="F147" s="19"/>
      <c r="G147" s="22" t="n">
        <v>163</v>
      </c>
      <c r="H147" s="19" t="n">
        <v>4.7</v>
      </c>
      <c r="I147" s="23" t="s">
        <v>27</v>
      </c>
      <c r="J147" s="19" t="s">
        <v>330</v>
      </c>
    </row>
    <row r="148" customFormat="false" ht="15" hidden="false" customHeight="false" outlineLevel="0" collapsed="false">
      <c r="A148" s="19" t="s">
        <v>249</v>
      </c>
      <c r="B148" s="19" t="s">
        <v>138</v>
      </c>
      <c r="C148" s="19" t="s">
        <v>319</v>
      </c>
      <c r="D148" s="19" t="s">
        <v>483</v>
      </c>
      <c r="E148" s="22" t="n">
        <v>980</v>
      </c>
      <c r="F148" s="19" t="n">
        <v>5.64</v>
      </c>
      <c r="G148" s="22" t="n">
        <v>162</v>
      </c>
      <c r="H148" s="19"/>
      <c r="I148" s="23" t="s">
        <v>27</v>
      </c>
      <c r="J148" s="19" t="s">
        <v>330</v>
      </c>
    </row>
    <row r="149" customFormat="false" ht="15" hidden="false" customHeight="false" outlineLevel="0" collapsed="false">
      <c r="A149" s="19" t="s">
        <v>252</v>
      </c>
      <c r="B149" s="19" t="s">
        <v>138</v>
      </c>
      <c r="C149" s="19" t="s">
        <v>319</v>
      </c>
      <c r="D149" s="19" t="s">
        <v>484</v>
      </c>
      <c r="E149" s="22" t="n">
        <v>1027</v>
      </c>
      <c r="F149" s="19"/>
      <c r="G149" s="22" t="n">
        <v>159</v>
      </c>
      <c r="H149" s="19" t="n">
        <v>4.5</v>
      </c>
      <c r="I149" s="23" t="s">
        <v>27</v>
      </c>
      <c r="J149" s="19" t="s">
        <v>339</v>
      </c>
    </row>
    <row r="150" customFormat="false" ht="15" hidden="false" customHeight="false" outlineLevel="0" collapsed="false">
      <c r="A150" s="19" t="s">
        <v>252</v>
      </c>
      <c r="B150" s="19" t="s">
        <v>272</v>
      </c>
      <c r="C150" s="19" t="s">
        <v>365</v>
      </c>
      <c r="D150" s="19" t="s">
        <v>485</v>
      </c>
      <c r="E150" s="22" t="n">
        <v>927</v>
      </c>
      <c r="F150" s="19"/>
      <c r="G150" s="22" t="n">
        <v>158</v>
      </c>
      <c r="H150" s="19" t="n">
        <v>4.4</v>
      </c>
      <c r="I150" s="23" t="s">
        <v>27</v>
      </c>
      <c r="J150" s="19" t="s">
        <v>370</v>
      </c>
    </row>
    <row r="151" customFormat="false" ht="15" hidden="false" customHeight="false" outlineLevel="0" collapsed="false">
      <c r="A151" s="19" t="s">
        <v>246</v>
      </c>
      <c r="B151" s="19" t="s">
        <v>138</v>
      </c>
      <c r="C151" s="19" t="s">
        <v>319</v>
      </c>
      <c r="D151" s="19" t="s">
        <v>486</v>
      </c>
      <c r="E151" s="22" t="n">
        <v>195</v>
      </c>
      <c r="F151" s="19"/>
      <c r="G151" s="22" t="n">
        <v>155</v>
      </c>
      <c r="H151" s="19" t="n">
        <v>4.7</v>
      </c>
      <c r="I151" s="23" t="s">
        <v>27</v>
      </c>
      <c r="J151" s="19" t="s">
        <v>326</v>
      </c>
    </row>
    <row r="152" customFormat="false" ht="15" hidden="false" customHeight="false" outlineLevel="0" collapsed="false">
      <c r="A152" s="19" t="s">
        <v>332</v>
      </c>
      <c r="B152" s="19" t="s">
        <v>138</v>
      </c>
      <c r="C152" s="19" t="s">
        <v>319</v>
      </c>
      <c r="D152" s="19" t="s">
        <v>487</v>
      </c>
      <c r="E152" s="22" t="n">
        <v>809</v>
      </c>
      <c r="F152" s="19" t="n">
        <v>3.61</v>
      </c>
      <c r="G152" s="22" t="n">
        <v>148</v>
      </c>
      <c r="H152" s="19" t="n">
        <v>4.7</v>
      </c>
      <c r="I152" s="23" t="s">
        <v>27</v>
      </c>
      <c r="J152" s="19" t="s">
        <v>326</v>
      </c>
    </row>
    <row r="153" customFormat="false" ht="15" hidden="false" customHeight="false" outlineLevel="0" collapsed="false">
      <c r="A153" s="19" t="s">
        <v>246</v>
      </c>
      <c r="B153" s="19" t="s">
        <v>138</v>
      </c>
      <c r="C153" s="19" t="s">
        <v>319</v>
      </c>
      <c r="D153" s="19" t="s">
        <v>488</v>
      </c>
      <c r="E153" s="22" t="n">
        <v>1063</v>
      </c>
      <c r="F153" s="19" t="n">
        <v>1.09</v>
      </c>
      <c r="G153" s="22" t="n">
        <v>146</v>
      </c>
      <c r="H153" s="19" t="n">
        <v>4.8</v>
      </c>
      <c r="I153" s="23" t="s">
        <v>27</v>
      </c>
      <c r="J153" s="19" t="s">
        <v>321</v>
      </c>
    </row>
    <row r="154" customFormat="false" ht="15" hidden="false" customHeight="false" outlineLevel="0" collapsed="false">
      <c r="A154" s="19" t="s">
        <v>252</v>
      </c>
      <c r="B154" s="19" t="s">
        <v>138</v>
      </c>
      <c r="C154" s="19" t="s">
        <v>319</v>
      </c>
      <c r="D154" s="19" t="s">
        <v>489</v>
      </c>
      <c r="E154" s="22" t="n">
        <v>675</v>
      </c>
      <c r="F154" s="19"/>
      <c r="G154" s="22" t="n">
        <v>144</v>
      </c>
      <c r="H154" s="19"/>
      <c r="I154" s="23" t="s">
        <v>27</v>
      </c>
      <c r="J154" s="19" t="s">
        <v>390</v>
      </c>
    </row>
    <row r="155" customFormat="false" ht="15" hidden="false" customHeight="false" outlineLevel="0" collapsed="false">
      <c r="A155" s="19" t="s">
        <v>246</v>
      </c>
      <c r="B155" s="19" t="s">
        <v>138</v>
      </c>
      <c r="C155" s="19" t="s">
        <v>367</v>
      </c>
      <c r="D155" s="19" t="s">
        <v>490</v>
      </c>
      <c r="E155" s="22" t="n">
        <v>434</v>
      </c>
      <c r="F155" s="19"/>
      <c r="G155" s="22" t="n">
        <v>144</v>
      </c>
      <c r="H155" s="19" t="n">
        <v>4.4</v>
      </c>
      <c r="I155" s="23" t="s">
        <v>27</v>
      </c>
      <c r="J155" s="19" t="s">
        <v>323</v>
      </c>
    </row>
    <row r="156" customFormat="false" ht="15" hidden="false" customHeight="false" outlineLevel="0" collapsed="false">
      <c r="A156" s="19" t="s">
        <v>252</v>
      </c>
      <c r="B156" s="19" t="s">
        <v>138</v>
      </c>
      <c r="C156" s="19" t="s">
        <v>319</v>
      </c>
      <c r="D156" s="19" t="s">
        <v>491</v>
      </c>
      <c r="E156" s="22" t="n">
        <v>862</v>
      </c>
      <c r="F156" s="19"/>
      <c r="G156" s="22" t="n">
        <v>141</v>
      </c>
      <c r="H156" s="19" t="n">
        <v>4.8</v>
      </c>
      <c r="I156" s="23" t="s">
        <v>27</v>
      </c>
      <c r="J156" s="19" t="s">
        <v>339</v>
      </c>
    </row>
    <row r="157" customFormat="false" ht="15" hidden="false" customHeight="false" outlineLevel="0" collapsed="false">
      <c r="A157" s="19" t="s">
        <v>246</v>
      </c>
      <c r="B157" s="19" t="s">
        <v>254</v>
      </c>
      <c r="C157" s="19" t="s">
        <v>365</v>
      </c>
      <c r="D157" s="19" t="s">
        <v>492</v>
      </c>
      <c r="E157" s="22" t="n">
        <v>1134</v>
      </c>
      <c r="F157" s="19" t="n">
        <v>6.34</v>
      </c>
      <c r="G157" s="22" t="n">
        <v>141</v>
      </c>
      <c r="H157" s="19"/>
      <c r="I157" s="23" t="s">
        <v>27</v>
      </c>
      <c r="J157" s="19" t="s">
        <v>351</v>
      </c>
    </row>
    <row r="158" customFormat="false" ht="15" hidden="false" customHeight="false" outlineLevel="0" collapsed="false">
      <c r="A158" s="19" t="s">
        <v>246</v>
      </c>
      <c r="B158" s="19" t="s">
        <v>138</v>
      </c>
      <c r="C158" s="19" t="s">
        <v>319</v>
      </c>
      <c r="D158" s="19" t="s">
        <v>493</v>
      </c>
      <c r="E158" s="22" t="n">
        <v>556</v>
      </c>
      <c r="F158" s="19"/>
      <c r="G158" s="22" t="n">
        <v>138</v>
      </c>
      <c r="H158" s="19"/>
      <c r="I158" s="23" t="s">
        <v>27</v>
      </c>
      <c r="J158" s="19" t="s">
        <v>326</v>
      </c>
    </row>
    <row r="159" customFormat="false" ht="15" hidden="false" customHeight="false" outlineLevel="0" collapsed="false">
      <c r="A159" s="19" t="s">
        <v>252</v>
      </c>
      <c r="B159" s="19" t="s">
        <v>138</v>
      </c>
      <c r="C159" s="19" t="s">
        <v>319</v>
      </c>
      <c r="D159" s="19" t="s">
        <v>451</v>
      </c>
      <c r="E159" s="22" t="n">
        <v>538</v>
      </c>
      <c r="F159" s="19"/>
      <c r="G159" s="22" t="n">
        <v>135</v>
      </c>
      <c r="H159" s="19" t="n">
        <v>3.7</v>
      </c>
      <c r="I159" s="23" t="s">
        <v>27</v>
      </c>
      <c r="J159" s="19" t="s">
        <v>345</v>
      </c>
    </row>
    <row r="160" customFormat="false" ht="15" hidden="false" customHeight="false" outlineLevel="0" collapsed="false">
      <c r="A160" s="19" t="s">
        <v>249</v>
      </c>
      <c r="B160" s="19" t="s">
        <v>138</v>
      </c>
      <c r="C160" s="19" t="s">
        <v>319</v>
      </c>
      <c r="D160" s="19" t="s">
        <v>494</v>
      </c>
      <c r="E160" s="22" t="n">
        <v>1218</v>
      </c>
      <c r="F160" s="19" t="n">
        <v>1.65</v>
      </c>
      <c r="G160" s="22" t="n">
        <v>135</v>
      </c>
      <c r="H160" s="19" t="n">
        <v>4.9</v>
      </c>
      <c r="I160" s="23" t="s">
        <v>27</v>
      </c>
      <c r="J160" s="19" t="s">
        <v>321</v>
      </c>
    </row>
    <row r="161" customFormat="false" ht="15" hidden="false" customHeight="false" outlineLevel="0" collapsed="false">
      <c r="A161" s="19" t="s">
        <v>246</v>
      </c>
      <c r="B161" s="19" t="s">
        <v>138</v>
      </c>
      <c r="C161" s="19" t="s">
        <v>319</v>
      </c>
      <c r="D161" s="19" t="s">
        <v>495</v>
      </c>
      <c r="E161" s="22" t="n">
        <v>1178</v>
      </c>
      <c r="F161" s="19"/>
      <c r="G161" s="22" t="n">
        <v>134</v>
      </c>
      <c r="H161" s="19"/>
      <c r="I161" s="23" t="s">
        <v>27</v>
      </c>
      <c r="J161" s="19" t="s">
        <v>321</v>
      </c>
    </row>
    <row r="162" customFormat="false" ht="15" hidden="false" customHeight="false" outlineLevel="0" collapsed="false">
      <c r="A162" s="19" t="s">
        <v>249</v>
      </c>
      <c r="B162" s="19" t="s">
        <v>138</v>
      </c>
      <c r="C162" s="19" t="s">
        <v>367</v>
      </c>
      <c r="D162" s="19" t="s">
        <v>496</v>
      </c>
      <c r="E162" s="22" t="n">
        <v>997</v>
      </c>
      <c r="F162" s="19" t="n">
        <v>3.84</v>
      </c>
      <c r="G162" s="22" t="n">
        <v>132</v>
      </c>
      <c r="H162" s="19" t="n">
        <v>3.9</v>
      </c>
      <c r="I162" s="23" t="s">
        <v>27</v>
      </c>
      <c r="J162" s="19" t="s">
        <v>428</v>
      </c>
    </row>
    <row r="163" customFormat="false" ht="15" hidden="false" customHeight="false" outlineLevel="0" collapsed="false">
      <c r="A163" s="19" t="s">
        <v>246</v>
      </c>
      <c r="B163" s="19" t="s">
        <v>138</v>
      </c>
      <c r="C163" s="19" t="s">
        <v>367</v>
      </c>
      <c r="D163" s="19" t="s">
        <v>497</v>
      </c>
      <c r="E163" s="22" t="n">
        <v>709</v>
      </c>
      <c r="F163" s="19" t="n">
        <v>2.42</v>
      </c>
      <c r="G163" s="22" t="n">
        <v>128</v>
      </c>
      <c r="H163" s="19" t="n">
        <v>4.8</v>
      </c>
      <c r="I163" s="23" t="s">
        <v>27</v>
      </c>
      <c r="J163" s="19" t="s">
        <v>326</v>
      </c>
    </row>
    <row r="164" customFormat="false" ht="15" hidden="false" customHeight="false" outlineLevel="0" collapsed="false">
      <c r="A164" s="19" t="s">
        <v>246</v>
      </c>
      <c r="B164" s="19" t="s">
        <v>138</v>
      </c>
      <c r="C164" s="19" t="s">
        <v>367</v>
      </c>
      <c r="D164" s="19" t="s">
        <v>498</v>
      </c>
      <c r="E164" s="22" t="n">
        <v>922</v>
      </c>
      <c r="F164" s="19"/>
      <c r="G164" s="22" t="n">
        <v>124</v>
      </c>
      <c r="H164" s="19" t="n">
        <v>4.9</v>
      </c>
      <c r="I164" s="23" t="s">
        <v>27</v>
      </c>
      <c r="J164" s="19" t="s">
        <v>422</v>
      </c>
    </row>
    <row r="165" customFormat="false" ht="15" hidden="false" customHeight="false" outlineLevel="0" collapsed="false">
      <c r="A165" s="19" t="s">
        <v>252</v>
      </c>
      <c r="B165" s="19" t="s">
        <v>138</v>
      </c>
      <c r="C165" s="19" t="s">
        <v>319</v>
      </c>
      <c r="D165" s="19" t="s">
        <v>499</v>
      </c>
      <c r="E165" s="22" t="n">
        <v>387</v>
      </c>
      <c r="F165" s="19"/>
      <c r="G165" s="22" t="n">
        <v>122</v>
      </c>
      <c r="H165" s="19"/>
      <c r="I165" s="23" t="s">
        <v>27</v>
      </c>
      <c r="J165" s="19" t="s">
        <v>390</v>
      </c>
    </row>
    <row r="166" customFormat="false" ht="15" hidden="false" customHeight="false" outlineLevel="0" collapsed="false">
      <c r="A166" s="19" t="s">
        <v>252</v>
      </c>
      <c r="B166" s="19" t="s">
        <v>138</v>
      </c>
      <c r="C166" s="19" t="s">
        <v>319</v>
      </c>
      <c r="D166" s="19" t="s">
        <v>500</v>
      </c>
      <c r="E166" s="22" t="n">
        <v>708</v>
      </c>
      <c r="F166" s="19" t="n">
        <v>1.09</v>
      </c>
      <c r="G166" s="22" t="n">
        <v>121</v>
      </c>
      <c r="H166" s="19" t="n">
        <v>4.4</v>
      </c>
      <c r="I166" s="23" t="s">
        <v>27</v>
      </c>
      <c r="J166" s="19" t="s">
        <v>339</v>
      </c>
    </row>
    <row r="167" customFormat="false" ht="15" hidden="false" customHeight="false" outlineLevel="0" collapsed="false">
      <c r="A167" s="19" t="s">
        <v>252</v>
      </c>
      <c r="B167" s="19" t="s">
        <v>138</v>
      </c>
      <c r="C167" s="19" t="s">
        <v>319</v>
      </c>
      <c r="D167" s="19" t="s">
        <v>501</v>
      </c>
      <c r="E167" s="22" t="n">
        <v>696</v>
      </c>
      <c r="F167" s="19"/>
      <c r="G167" s="22" t="n">
        <v>121</v>
      </c>
      <c r="H167" s="19"/>
      <c r="I167" s="23" t="s">
        <v>27</v>
      </c>
      <c r="J167" s="19" t="s">
        <v>345</v>
      </c>
    </row>
    <row r="168" customFormat="false" ht="15" hidden="false" customHeight="false" outlineLevel="0" collapsed="false">
      <c r="A168" s="19" t="s">
        <v>246</v>
      </c>
      <c r="B168" s="19" t="s">
        <v>263</v>
      </c>
      <c r="C168" s="19" t="s">
        <v>365</v>
      </c>
      <c r="D168" s="19" t="s">
        <v>502</v>
      </c>
      <c r="E168" s="22" t="n">
        <v>1594</v>
      </c>
      <c r="F168" s="19" t="n">
        <v>3.08</v>
      </c>
      <c r="G168" s="22" t="n">
        <v>117</v>
      </c>
      <c r="H168" s="19" t="n">
        <v>4.8</v>
      </c>
      <c r="I168" s="23" t="s">
        <v>27</v>
      </c>
      <c r="J168" s="19" t="s">
        <v>326</v>
      </c>
    </row>
    <row r="169" customFormat="false" ht="15" hidden="false" customHeight="false" outlineLevel="0" collapsed="false">
      <c r="A169" s="19" t="s">
        <v>252</v>
      </c>
      <c r="B169" s="19" t="s">
        <v>244</v>
      </c>
      <c r="C169" s="19" t="s">
        <v>365</v>
      </c>
      <c r="D169" s="19" t="s">
        <v>503</v>
      </c>
      <c r="E169" s="22" t="n">
        <v>486</v>
      </c>
      <c r="F169" s="19" t="n">
        <v>1.09</v>
      </c>
      <c r="G169" s="22" t="n">
        <v>116</v>
      </c>
      <c r="H169" s="19" t="n">
        <v>4.4</v>
      </c>
      <c r="I169" s="23" t="s">
        <v>27</v>
      </c>
      <c r="J169" s="19" t="s">
        <v>414</v>
      </c>
    </row>
    <row r="170" customFormat="false" ht="15" hidden="false" customHeight="false" outlineLevel="0" collapsed="false">
      <c r="A170" s="19" t="s">
        <v>246</v>
      </c>
      <c r="B170" s="19" t="s">
        <v>138</v>
      </c>
      <c r="C170" s="19" t="s">
        <v>319</v>
      </c>
      <c r="D170" s="19" t="s">
        <v>504</v>
      </c>
      <c r="E170" s="22" t="n">
        <v>1271</v>
      </c>
      <c r="F170" s="19" t="n">
        <v>1.79</v>
      </c>
      <c r="G170" s="22" t="n">
        <v>116</v>
      </c>
      <c r="H170" s="19" t="n">
        <v>4.5</v>
      </c>
      <c r="I170" s="23" t="s">
        <v>27</v>
      </c>
      <c r="J170" s="19" t="s">
        <v>321</v>
      </c>
    </row>
    <row r="171" customFormat="false" ht="15" hidden="false" customHeight="false" outlineLevel="0" collapsed="false">
      <c r="A171" s="19" t="s">
        <v>252</v>
      </c>
      <c r="B171" s="19" t="s">
        <v>138</v>
      </c>
      <c r="C171" s="19" t="s">
        <v>319</v>
      </c>
      <c r="D171" s="19" t="s">
        <v>505</v>
      </c>
      <c r="E171" s="22" t="n">
        <v>665</v>
      </c>
      <c r="F171" s="19"/>
      <c r="G171" s="22" t="n">
        <v>112</v>
      </c>
      <c r="H171" s="19"/>
      <c r="I171" s="23" t="s">
        <v>27</v>
      </c>
      <c r="J171" s="19" t="s">
        <v>390</v>
      </c>
    </row>
    <row r="172" customFormat="false" ht="15" hidden="false" customHeight="false" outlineLevel="0" collapsed="false">
      <c r="A172" s="19" t="s">
        <v>249</v>
      </c>
      <c r="B172" s="19" t="s">
        <v>138</v>
      </c>
      <c r="C172" s="19" t="s">
        <v>319</v>
      </c>
      <c r="D172" s="19" t="s">
        <v>506</v>
      </c>
      <c r="E172" s="22" t="n">
        <v>2344</v>
      </c>
      <c r="F172" s="19" t="n">
        <v>7.09</v>
      </c>
      <c r="G172" s="22" t="n">
        <v>110</v>
      </c>
      <c r="H172" s="19" t="n">
        <v>3.2</v>
      </c>
      <c r="I172" s="23" t="s">
        <v>27</v>
      </c>
      <c r="J172" s="19" t="s">
        <v>330</v>
      </c>
    </row>
    <row r="173" customFormat="false" ht="15" hidden="false" customHeight="false" outlineLevel="0" collapsed="false">
      <c r="A173" s="19" t="s">
        <v>249</v>
      </c>
      <c r="B173" s="19" t="s">
        <v>138</v>
      </c>
      <c r="C173" s="19" t="s">
        <v>367</v>
      </c>
      <c r="D173" s="19" t="s">
        <v>507</v>
      </c>
      <c r="E173" s="22" t="n">
        <v>1064</v>
      </c>
      <c r="F173" s="19"/>
      <c r="G173" s="22" t="n">
        <v>108</v>
      </c>
      <c r="H173" s="19" t="n">
        <v>4.7</v>
      </c>
      <c r="I173" s="23" t="s">
        <v>27</v>
      </c>
      <c r="J173" s="19" t="s">
        <v>428</v>
      </c>
    </row>
    <row r="174" customFormat="false" ht="15" hidden="false" customHeight="false" outlineLevel="0" collapsed="false">
      <c r="A174" s="19" t="s">
        <v>249</v>
      </c>
      <c r="B174" s="19" t="s">
        <v>138</v>
      </c>
      <c r="C174" s="19" t="s">
        <v>319</v>
      </c>
      <c r="D174" s="19" t="s">
        <v>508</v>
      </c>
      <c r="E174" s="22" t="n">
        <v>927</v>
      </c>
      <c r="F174" s="19"/>
      <c r="G174" s="22" t="n">
        <v>108</v>
      </c>
      <c r="H174" s="19" t="n">
        <v>4.5</v>
      </c>
      <c r="I174" s="23" t="s">
        <v>27</v>
      </c>
      <c r="J174" s="19" t="s">
        <v>330</v>
      </c>
    </row>
    <row r="175" customFormat="false" ht="15" hidden="false" customHeight="false" outlineLevel="0" collapsed="false">
      <c r="A175" s="19" t="s">
        <v>249</v>
      </c>
      <c r="B175" s="19" t="s">
        <v>138</v>
      </c>
      <c r="C175" s="19" t="s">
        <v>319</v>
      </c>
      <c r="D175" s="19" t="s">
        <v>509</v>
      </c>
      <c r="E175" s="22" t="n">
        <v>1291</v>
      </c>
      <c r="F175" s="19" t="n">
        <v>9.33</v>
      </c>
      <c r="G175" s="22" t="n">
        <v>107</v>
      </c>
      <c r="H175" s="19" t="n">
        <v>4.2</v>
      </c>
      <c r="I175" s="23" t="s">
        <v>27</v>
      </c>
      <c r="J175" s="19" t="s">
        <v>330</v>
      </c>
    </row>
    <row r="176" customFormat="false" ht="15" hidden="false" customHeight="false" outlineLevel="0" collapsed="false">
      <c r="A176" s="19" t="s">
        <v>246</v>
      </c>
      <c r="B176" s="19" t="s">
        <v>138</v>
      </c>
      <c r="C176" s="19" t="s">
        <v>319</v>
      </c>
      <c r="D176" s="19" t="s">
        <v>510</v>
      </c>
      <c r="E176" s="22" t="n">
        <v>695</v>
      </c>
      <c r="F176" s="19"/>
      <c r="G176" s="22" t="n">
        <v>105</v>
      </c>
      <c r="H176" s="19" t="n">
        <v>4.9</v>
      </c>
      <c r="I176" s="23" t="s">
        <v>27</v>
      </c>
      <c r="J176" s="19" t="s">
        <v>321</v>
      </c>
    </row>
    <row r="177" customFormat="false" ht="15" hidden="false" customHeight="false" outlineLevel="0" collapsed="false">
      <c r="A177" s="19" t="s">
        <v>252</v>
      </c>
      <c r="B177" s="19" t="s">
        <v>272</v>
      </c>
      <c r="C177" s="19" t="s">
        <v>365</v>
      </c>
      <c r="D177" s="19" t="s">
        <v>511</v>
      </c>
      <c r="E177" s="22" t="n">
        <v>928</v>
      </c>
      <c r="F177" s="19" t="n">
        <v>6.02</v>
      </c>
      <c r="G177" s="22" t="n">
        <v>104</v>
      </c>
      <c r="H177" s="19" t="n">
        <v>4.2</v>
      </c>
      <c r="I177" s="23" t="s">
        <v>27</v>
      </c>
      <c r="J177" s="19" t="s">
        <v>370</v>
      </c>
    </row>
    <row r="178" customFormat="false" ht="15" hidden="false" customHeight="false" outlineLevel="0" collapsed="false">
      <c r="A178" s="19" t="s">
        <v>246</v>
      </c>
      <c r="B178" s="19" t="s">
        <v>138</v>
      </c>
      <c r="C178" s="19" t="s">
        <v>319</v>
      </c>
      <c r="D178" s="19" t="s">
        <v>512</v>
      </c>
      <c r="E178" s="22" t="n">
        <v>663</v>
      </c>
      <c r="F178" s="19"/>
      <c r="G178" s="22" t="n">
        <v>104</v>
      </c>
      <c r="H178" s="19"/>
      <c r="I178" s="23" t="s">
        <v>27</v>
      </c>
      <c r="J178" s="19" t="s">
        <v>321</v>
      </c>
    </row>
    <row r="179" customFormat="false" ht="15" hidden="false" customHeight="false" outlineLevel="0" collapsed="false">
      <c r="A179" s="19" t="s">
        <v>246</v>
      </c>
      <c r="B179" s="19" t="s">
        <v>138</v>
      </c>
      <c r="C179" s="19" t="s">
        <v>319</v>
      </c>
      <c r="D179" s="19" t="s">
        <v>513</v>
      </c>
      <c r="E179" s="22" t="n">
        <v>1988</v>
      </c>
      <c r="F179" s="19" t="n">
        <v>5.86</v>
      </c>
      <c r="G179" s="22" t="n">
        <v>102</v>
      </c>
      <c r="H179" s="19" t="n">
        <v>4.5</v>
      </c>
      <c r="I179" s="23" t="s">
        <v>27</v>
      </c>
      <c r="J179" s="19" t="s">
        <v>326</v>
      </c>
    </row>
    <row r="180" customFormat="false" ht="15" hidden="false" customHeight="false" outlineLevel="0" collapsed="false">
      <c r="A180" s="19" t="s">
        <v>246</v>
      </c>
      <c r="B180" s="19" t="s">
        <v>138</v>
      </c>
      <c r="C180" s="19" t="s">
        <v>367</v>
      </c>
      <c r="D180" s="19" t="s">
        <v>514</v>
      </c>
      <c r="E180" s="22" t="n">
        <v>689</v>
      </c>
      <c r="F180" s="19"/>
      <c r="G180" s="22" t="n">
        <v>102</v>
      </c>
      <c r="H180" s="19"/>
      <c r="I180" s="23" t="s">
        <v>27</v>
      </c>
      <c r="J180" s="19" t="s">
        <v>388</v>
      </c>
    </row>
    <row r="181" customFormat="false" ht="15" hidden="false" customHeight="false" outlineLevel="0" collapsed="false">
      <c r="A181" s="19" t="s">
        <v>252</v>
      </c>
      <c r="B181" s="19" t="s">
        <v>138</v>
      </c>
      <c r="C181" s="19" t="s">
        <v>319</v>
      </c>
      <c r="D181" s="19" t="s">
        <v>515</v>
      </c>
      <c r="E181" s="22" t="n">
        <v>375</v>
      </c>
      <c r="F181" s="19"/>
      <c r="G181" s="22" t="n">
        <v>101</v>
      </c>
      <c r="H181" s="19"/>
      <c r="I181" s="23" t="s">
        <v>27</v>
      </c>
      <c r="J181" s="19" t="s">
        <v>339</v>
      </c>
    </row>
    <row r="182" customFormat="false" ht="15" hidden="false" customHeight="false" outlineLevel="0" collapsed="false">
      <c r="A182" s="19" t="s">
        <v>249</v>
      </c>
      <c r="B182" s="19" t="s">
        <v>138</v>
      </c>
      <c r="C182" s="19" t="s">
        <v>319</v>
      </c>
      <c r="D182" s="19" t="s">
        <v>516</v>
      </c>
      <c r="E182" s="22" t="n">
        <v>2511</v>
      </c>
      <c r="F182" s="19"/>
      <c r="G182" s="22" t="n">
        <v>101</v>
      </c>
      <c r="H182" s="19" t="n">
        <v>3.5</v>
      </c>
      <c r="I182" s="23" t="s">
        <v>27</v>
      </c>
      <c r="J182" s="19" t="s">
        <v>330</v>
      </c>
    </row>
    <row r="183" customFormat="false" ht="15" hidden="false" customHeight="false" outlineLevel="0" collapsed="false">
      <c r="A183" s="19" t="s">
        <v>246</v>
      </c>
      <c r="B183" s="19" t="s">
        <v>138</v>
      </c>
      <c r="C183" s="19" t="s">
        <v>319</v>
      </c>
      <c r="D183" s="19" t="s">
        <v>517</v>
      </c>
      <c r="E183" s="22" t="n">
        <v>1161</v>
      </c>
      <c r="F183" s="19"/>
      <c r="G183" s="22" t="n">
        <v>100</v>
      </c>
      <c r="H183" s="19"/>
      <c r="I183" s="23" t="s">
        <v>27</v>
      </c>
      <c r="J183" s="19" t="s">
        <v>323</v>
      </c>
    </row>
    <row r="184" customFormat="false" ht="15" hidden="false" customHeight="false" outlineLevel="0" collapsed="false">
      <c r="A184" s="19" t="s">
        <v>246</v>
      </c>
      <c r="B184" s="19" t="s">
        <v>138</v>
      </c>
      <c r="C184" s="19" t="s">
        <v>319</v>
      </c>
      <c r="D184" s="19" t="s">
        <v>518</v>
      </c>
      <c r="E184" s="22" t="n">
        <v>657</v>
      </c>
      <c r="F184" s="19"/>
      <c r="G184" s="22" t="n">
        <v>100</v>
      </c>
      <c r="H184" s="19"/>
      <c r="I184" s="23" t="s">
        <v>27</v>
      </c>
      <c r="J184" s="19" t="s">
        <v>326</v>
      </c>
    </row>
    <row r="185" customFormat="false" ht="15" hidden="false" customHeight="false" outlineLevel="0" collapsed="false">
      <c r="A185" s="19" t="s">
        <v>246</v>
      </c>
      <c r="B185" s="19" t="s">
        <v>138</v>
      </c>
      <c r="C185" s="19" t="s">
        <v>367</v>
      </c>
      <c r="D185" s="19" t="s">
        <v>519</v>
      </c>
      <c r="E185" s="22" t="n">
        <v>573</v>
      </c>
      <c r="F185" s="19"/>
      <c r="G185" s="22" t="n">
        <v>99</v>
      </c>
      <c r="H185" s="19" t="n">
        <v>3.8</v>
      </c>
      <c r="I185" s="23" t="s">
        <v>27</v>
      </c>
      <c r="J185" s="19" t="s">
        <v>388</v>
      </c>
    </row>
    <row r="186" customFormat="false" ht="15" hidden="false" customHeight="false" outlineLevel="0" collapsed="false">
      <c r="A186" s="19" t="s">
        <v>246</v>
      </c>
      <c r="B186" s="19" t="s">
        <v>138</v>
      </c>
      <c r="C186" s="19" t="s">
        <v>446</v>
      </c>
      <c r="D186" s="19" t="s">
        <v>520</v>
      </c>
      <c r="E186" s="22" t="n">
        <v>428</v>
      </c>
      <c r="F186" s="19" t="n">
        <v>1.09</v>
      </c>
      <c r="G186" s="22" t="n">
        <v>95</v>
      </c>
      <c r="H186" s="19" t="n">
        <v>4.4</v>
      </c>
      <c r="I186" s="23" t="s">
        <v>27</v>
      </c>
      <c r="J186" s="19" t="s">
        <v>372</v>
      </c>
    </row>
    <row r="187" customFormat="false" ht="15" hidden="false" customHeight="false" outlineLevel="0" collapsed="false">
      <c r="A187" s="19" t="s">
        <v>252</v>
      </c>
      <c r="B187" s="19" t="s">
        <v>138</v>
      </c>
      <c r="C187" s="19" t="s">
        <v>319</v>
      </c>
      <c r="D187" s="19" t="s">
        <v>521</v>
      </c>
      <c r="E187" s="22" t="n">
        <v>917</v>
      </c>
      <c r="F187" s="19"/>
      <c r="G187" s="22" t="n">
        <v>94</v>
      </c>
      <c r="H187" s="19"/>
      <c r="I187" s="23" t="s">
        <v>27</v>
      </c>
      <c r="J187" s="19" t="s">
        <v>345</v>
      </c>
    </row>
    <row r="188" customFormat="false" ht="15" hidden="false" customHeight="false" outlineLevel="0" collapsed="false">
      <c r="A188" s="19" t="s">
        <v>249</v>
      </c>
      <c r="B188" s="19" t="s">
        <v>138</v>
      </c>
      <c r="C188" s="19" t="s">
        <v>446</v>
      </c>
      <c r="D188" s="19" t="s">
        <v>522</v>
      </c>
      <c r="E188" s="22" t="n">
        <v>960</v>
      </c>
      <c r="F188" s="19"/>
      <c r="G188" s="22" t="n">
        <v>93</v>
      </c>
      <c r="H188" s="19" t="n">
        <v>4.9</v>
      </c>
      <c r="I188" s="23" t="s">
        <v>27</v>
      </c>
      <c r="J188" s="19" t="s">
        <v>428</v>
      </c>
    </row>
    <row r="189" customFormat="false" ht="15" hidden="false" customHeight="false" outlineLevel="0" collapsed="false">
      <c r="A189" s="19" t="s">
        <v>252</v>
      </c>
      <c r="B189" s="19" t="s">
        <v>138</v>
      </c>
      <c r="C189" s="19" t="s">
        <v>319</v>
      </c>
      <c r="D189" s="19" t="s">
        <v>523</v>
      </c>
      <c r="E189" s="22" t="n">
        <v>653</v>
      </c>
      <c r="F189" s="19"/>
      <c r="G189" s="22" t="n">
        <v>92</v>
      </c>
      <c r="H189" s="19" t="n">
        <v>4.4</v>
      </c>
      <c r="I189" s="23" t="s">
        <v>27</v>
      </c>
      <c r="J189" s="19" t="s">
        <v>339</v>
      </c>
    </row>
    <row r="190" customFormat="false" ht="15" hidden="false" customHeight="false" outlineLevel="0" collapsed="false">
      <c r="A190" s="19" t="s">
        <v>249</v>
      </c>
      <c r="B190" s="19" t="s">
        <v>138</v>
      </c>
      <c r="C190" s="19" t="s">
        <v>319</v>
      </c>
      <c r="D190" s="19" t="s">
        <v>524</v>
      </c>
      <c r="E190" s="22" t="n">
        <v>2574</v>
      </c>
      <c r="F190" s="19"/>
      <c r="G190" s="22" t="n">
        <v>92</v>
      </c>
      <c r="H190" s="19" t="n">
        <v>4.4</v>
      </c>
      <c r="I190" s="23" t="s">
        <v>27</v>
      </c>
      <c r="J190" s="19" t="s">
        <v>330</v>
      </c>
    </row>
    <row r="191" customFormat="false" ht="15" hidden="false" customHeight="false" outlineLevel="0" collapsed="false">
      <c r="A191" s="19" t="s">
        <v>246</v>
      </c>
      <c r="B191" s="19" t="s">
        <v>138</v>
      </c>
      <c r="C191" s="19" t="s">
        <v>319</v>
      </c>
      <c r="D191" s="19" t="s">
        <v>525</v>
      </c>
      <c r="E191" s="22" t="n">
        <v>743</v>
      </c>
      <c r="F191" s="19"/>
      <c r="G191" s="22" t="n">
        <v>91</v>
      </c>
      <c r="H191" s="19" t="n">
        <v>4.8</v>
      </c>
      <c r="I191" s="23" t="s">
        <v>27</v>
      </c>
      <c r="J191" s="19" t="s">
        <v>326</v>
      </c>
    </row>
    <row r="192" customFormat="false" ht="15" hidden="false" customHeight="false" outlineLevel="0" collapsed="false">
      <c r="A192" s="19" t="s">
        <v>252</v>
      </c>
      <c r="B192" s="19" t="s">
        <v>272</v>
      </c>
      <c r="C192" s="19" t="s">
        <v>365</v>
      </c>
      <c r="D192" s="19" t="s">
        <v>526</v>
      </c>
      <c r="E192" s="22" t="n">
        <v>325</v>
      </c>
      <c r="F192" s="19"/>
      <c r="G192" s="22" t="n">
        <v>90</v>
      </c>
      <c r="H192" s="19" t="n">
        <v>4.8</v>
      </c>
      <c r="I192" s="23" t="s">
        <v>27</v>
      </c>
      <c r="J192" s="19" t="s">
        <v>370</v>
      </c>
    </row>
    <row r="193" customFormat="false" ht="15" hidden="false" customHeight="false" outlineLevel="0" collapsed="false">
      <c r="A193" s="19" t="s">
        <v>246</v>
      </c>
      <c r="B193" s="19" t="s">
        <v>138</v>
      </c>
      <c r="C193" s="19" t="s">
        <v>446</v>
      </c>
      <c r="D193" s="19" t="s">
        <v>527</v>
      </c>
      <c r="E193" s="22" t="n">
        <v>1058</v>
      </c>
      <c r="F193" s="19" t="n">
        <v>2.71</v>
      </c>
      <c r="G193" s="22" t="n">
        <v>90</v>
      </c>
      <c r="H193" s="19" t="n">
        <v>4.8</v>
      </c>
      <c r="I193" s="23" t="s">
        <v>27</v>
      </c>
      <c r="J193" s="19" t="s">
        <v>372</v>
      </c>
    </row>
    <row r="194" customFormat="false" ht="15" hidden="false" customHeight="false" outlineLevel="0" collapsed="false">
      <c r="A194" s="19" t="s">
        <v>246</v>
      </c>
      <c r="B194" s="19" t="s">
        <v>138</v>
      </c>
      <c r="C194" s="19" t="s">
        <v>367</v>
      </c>
      <c r="D194" s="19" t="s">
        <v>528</v>
      </c>
      <c r="E194" s="22" t="n">
        <v>536</v>
      </c>
      <c r="F194" s="19"/>
      <c r="G194" s="22" t="n">
        <v>90</v>
      </c>
      <c r="H194" s="19" t="n">
        <v>4.8</v>
      </c>
      <c r="I194" s="23" t="s">
        <v>27</v>
      </c>
      <c r="J194" s="19" t="s">
        <v>372</v>
      </c>
    </row>
    <row r="195" customFormat="false" ht="15" hidden="false" customHeight="false" outlineLevel="0" collapsed="false">
      <c r="A195" s="19" t="s">
        <v>246</v>
      </c>
      <c r="B195" s="19" t="s">
        <v>138</v>
      </c>
      <c r="C195" s="19" t="s">
        <v>367</v>
      </c>
      <c r="D195" s="19" t="s">
        <v>529</v>
      </c>
      <c r="E195" s="22" t="n">
        <v>871</v>
      </c>
      <c r="F195" s="19"/>
      <c r="G195" s="22" t="n">
        <v>90</v>
      </c>
      <c r="H195" s="19" t="n">
        <v>3.7</v>
      </c>
      <c r="I195" s="23" t="s">
        <v>27</v>
      </c>
      <c r="J195" s="19" t="s">
        <v>323</v>
      </c>
    </row>
    <row r="196" customFormat="false" ht="15" hidden="false" customHeight="false" outlineLevel="0" collapsed="false">
      <c r="A196" s="19" t="s">
        <v>252</v>
      </c>
      <c r="B196" s="19" t="s">
        <v>138</v>
      </c>
      <c r="C196" s="19" t="s">
        <v>530</v>
      </c>
      <c r="D196" s="19" t="s">
        <v>531</v>
      </c>
      <c r="E196" s="22" t="n">
        <v>693</v>
      </c>
      <c r="F196" s="19"/>
      <c r="G196" s="22" t="n">
        <v>88</v>
      </c>
      <c r="H196" s="19"/>
      <c r="I196" s="23" t="s">
        <v>27</v>
      </c>
      <c r="J196" s="19" t="s">
        <v>318</v>
      </c>
    </row>
    <row r="197" customFormat="false" ht="15" hidden="false" customHeight="false" outlineLevel="0" collapsed="false">
      <c r="A197" s="19" t="s">
        <v>332</v>
      </c>
      <c r="B197" s="19" t="s">
        <v>138</v>
      </c>
      <c r="C197" s="19" t="s">
        <v>319</v>
      </c>
      <c r="D197" s="19" t="s">
        <v>532</v>
      </c>
      <c r="E197" s="22" t="n">
        <v>791</v>
      </c>
      <c r="F197" s="19"/>
      <c r="G197" s="22" t="n">
        <v>86</v>
      </c>
      <c r="H197" s="19" t="n">
        <v>4.5</v>
      </c>
      <c r="I197" s="23" t="s">
        <v>27</v>
      </c>
      <c r="J197" s="19" t="s">
        <v>323</v>
      </c>
    </row>
    <row r="198" customFormat="false" ht="15" hidden="false" customHeight="false" outlineLevel="0" collapsed="false">
      <c r="A198" s="19" t="s">
        <v>249</v>
      </c>
      <c r="B198" s="19" t="s">
        <v>138</v>
      </c>
      <c r="C198" s="19" t="s">
        <v>319</v>
      </c>
      <c r="D198" s="19" t="s">
        <v>533</v>
      </c>
      <c r="E198" s="22" t="n">
        <v>2627</v>
      </c>
      <c r="F198" s="19"/>
      <c r="G198" s="22" t="n">
        <v>80</v>
      </c>
      <c r="H198" s="19" t="n">
        <v>4.8</v>
      </c>
      <c r="I198" s="23" t="s">
        <v>27</v>
      </c>
      <c r="J198" s="19" t="s">
        <v>330</v>
      </c>
    </row>
    <row r="199" customFormat="false" ht="15" hidden="false" customHeight="false" outlineLevel="0" collapsed="false">
      <c r="A199" s="19" t="s">
        <v>252</v>
      </c>
      <c r="B199" s="19" t="s">
        <v>138</v>
      </c>
      <c r="C199" s="19" t="s">
        <v>319</v>
      </c>
      <c r="D199" s="19" t="s">
        <v>534</v>
      </c>
      <c r="E199" s="22" t="n">
        <v>413</v>
      </c>
      <c r="F199" s="19"/>
      <c r="G199" s="22" t="n">
        <v>79</v>
      </c>
      <c r="H199" s="19"/>
      <c r="I199" s="23" t="s">
        <v>27</v>
      </c>
      <c r="J199" s="19" t="s">
        <v>390</v>
      </c>
    </row>
    <row r="200" customFormat="false" ht="15" hidden="false" customHeight="false" outlineLevel="0" collapsed="false">
      <c r="A200" s="19" t="s">
        <v>332</v>
      </c>
      <c r="B200" s="19" t="s">
        <v>138</v>
      </c>
      <c r="C200" s="19" t="s">
        <v>367</v>
      </c>
      <c r="D200" s="19" t="s">
        <v>535</v>
      </c>
      <c r="E200" s="22" t="n">
        <v>1111</v>
      </c>
      <c r="F200" s="19" t="n">
        <v>3.34</v>
      </c>
      <c r="G200" s="22" t="n">
        <v>79</v>
      </c>
      <c r="H200" s="19" t="n">
        <v>4.5</v>
      </c>
      <c r="I200" s="23" t="s">
        <v>27</v>
      </c>
      <c r="J200" s="19" t="s">
        <v>323</v>
      </c>
    </row>
    <row r="201" customFormat="false" ht="15" hidden="false" customHeight="false" outlineLevel="0" collapsed="false">
      <c r="A201" s="19" t="s">
        <v>252</v>
      </c>
      <c r="B201" s="19" t="s">
        <v>138</v>
      </c>
      <c r="C201" s="19" t="s">
        <v>319</v>
      </c>
      <c r="D201" s="19" t="s">
        <v>536</v>
      </c>
      <c r="E201" s="22" t="n">
        <v>554</v>
      </c>
      <c r="F201" s="19"/>
      <c r="G201" s="22" t="n">
        <v>78</v>
      </c>
      <c r="H201" s="19"/>
      <c r="I201" s="23" t="s">
        <v>27</v>
      </c>
      <c r="J201" s="19" t="s">
        <v>390</v>
      </c>
    </row>
    <row r="202" customFormat="false" ht="15" hidden="false" customHeight="false" outlineLevel="0" collapsed="false">
      <c r="A202" s="19" t="s">
        <v>246</v>
      </c>
      <c r="B202" s="19" t="s">
        <v>138</v>
      </c>
      <c r="C202" s="19" t="s">
        <v>367</v>
      </c>
      <c r="D202" s="19" t="s">
        <v>537</v>
      </c>
      <c r="E202" s="22" t="n">
        <v>361</v>
      </c>
      <c r="F202" s="19"/>
      <c r="G202" s="22" t="n">
        <v>78</v>
      </c>
      <c r="H202" s="19" t="n">
        <v>4.5</v>
      </c>
      <c r="I202" s="23" t="s">
        <v>27</v>
      </c>
      <c r="J202" s="19" t="s">
        <v>372</v>
      </c>
    </row>
    <row r="203" customFormat="false" ht="15" hidden="false" customHeight="false" outlineLevel="0" collapsed="false">
      <c r="A203" s="19" t="s">
        <v>249</v>
      </c>
      <c r="B203" s="19" t="s">
        <v>138</v>
      </c>
      <c r="C203" s="19" t="s">
        <v>319</v>
      </c>
      <c r="D203" s="19" t="s">
        <v>538</v>
      </c>
      <c r="E203" s="22" t="n">
        <v>504</v>
      </c>
      <c r="F203" s="19"/>
      <c r="G203" s="22" t="n">
        <v>76</v>
      </c>
      <c r="H203" s="19"/>
      <c r="I203" s="23" t="s">
        <v>27</v>
      </c>
      <c r="J203" s="19" t="s">
        <v>539</v>
      </c>
    </row>
    <row r="204" customFormat="false" ht="15" hidden="false" customHeight="false" outlineLevel="0" collapsed="false">
      <c r="A204" s="19" t="s">
        <v>249</v>
      </c>
      <c r="B204" s="19" t="s">
        <v>254</v>
      </c>
      <c r="C204" s="19" t="s">
        <v>365</v>
      </c>
      <c r="D204" s="19" t="s">
        <v>540</v>
      </c>
      <c r="E204" s="22" t="n">
        <v>240</v>
      </c>
      <c r="F204" s="19"/>
      <c r="G204" s="22" t="n">
        <v>75</v>
      </c>
      <c r="H204" s="19"/>
      <c r="I204" s="23" t="s">
        <v>27</v>
      </c>
      <c r="J204" s="19" t="s">
        <v>539</v>
      </c>
    </row>
    <row r="205" customFormat="false" ht="15" hidden="false" customHeight="false" outlineLevel="0" collapsed="false">
      <c r="A205" s="19" t="s">
        <v>246</v>
      </c>
      <c r="B205" s="19" t="s">
        <v>138</v>
      </c>
      <c r="C205" s="19" t="s">
        <v>367</v>
      </c>
      <c r="D205" s="19" t="s">
        <v>421</v>
      </c>
      <c r="E205" s="22" t="n">
        <v>1587</v>
      </c>
      <c r="F205" s="19" t="n">
        <v>1.54</v>
      </c>
      <c r="G205" s="22" t="n">
        <v>75</v>
      </c>
      <c r="H205" s="19" t="n">
        <v>4.5</v>
      </c>
      <c r="I205" s="23" t="s">
        <v>27</v>
      </c>
      <c r="J205" s="19" t="s">
        <v>388</v>
      </c>
    </row>
    <row r="206" customFormat="false" ht="15" hidden="false" customHeight="false" outlineLevel="0" collapsed="false">
      <c r="A206" s="19" t="s">
        <v>252</v>
      </c>
      <c r="B206" s="19" t="s">
        <v>138</v>
      </c>
      <c r="C206" s="19" t="s">
        <v>319</v>
      </c>
      <c r="D206" s="19" t="s">
        <v>541</v>
      </c>
      <c r="E206" s="22" t="n">
        <v>739</v>
      </c>
      <c r="F206" s="19"/>
      <c r="G206" s="22" t="n">
        <v>74</v>
      </c>
      <c r="H206" s="19"/>
      <c r="I206" s="23" t="s">
        <v>27</v>
      </c>
      <c r="J206" s="19" t="s">
        <v>390</v>
      </c>
    </row>
    <row r="207" customFormat="false" ht="15" hidden="false" customHeight="false" outlineLevel="0" collapsed="false">
      <c r="A207" s="19" t="s">
        <v>246</v>
      </c>
      <c r="B207" s="19" t="s">
        <v>315</v>
      </c>
      <c r="C207" s="19" t="s">
        <v>316</v>
      </c>
      <c r="D207" s="19" t="s">
        <v>542</v>
      </c>
      <c r="E207" s="22" t="n">
        <v>375</v>
      </c>
      <c r="F207" s="19"/>
      <c r="G207" s="22" t="n">
        <v>74</v>
      </c>
      <c r="H207" s="19" t="n">
        <v>4.7</v>
      </c>
      <c r="I207" s="23" t="s">
        <v>27</v>
      </c>
      <c r="J207" s="19" t="s">
        <v>323</v>
      </c>
    </row>
    <row r="208" customFormat="false" ht="15" hidden="false" customHeight="false" outlineLevel="0" collapsed="false">
      <c r="A208" s="19" t="s">
        <v>246</v>
      </c>
      <c r="B208" s="19" t="s">
        <v>267</v>
      </c>
      <c r="C208" s="19" t="s">
        <v>365</v>
      </c>
      <c r="D208" s="19" t="s">
        <v>543</v>
      </c>
      <c r="E208" s="22" t="n">
        <v>1661</v>
      </c>
      <c r="F208" s="19" t="n">
        <v>1.94</v>
      </c>
      <c r="G208" s="22" t="n">
        <v>74</v>
      </c>
      <c r="H208" s="19"/>
      <c r="I208" s="23" t="s">
        <v>27</v>
      </c>
      <c r="J208" s="19" t="s">
        <v>351</v>
      </c>
    </row>
    <row r="209" customFormat="false" ht="15" hidden="false" customHeight="false" outlineLevel="0" collapsed="false">
      <c r="A209" s="19" t="s">
        <v>246</v>
      </c>
      <c r="B209" s="19" t="s">
        <v>138</v>
      </c>
      <c r="C209" s="19" t="s">
        <v>367</v>
      </c>
      <c r="D209" s="19" t="s">
        <v>544</v>
      </c>
      <c r="E209" s="22" t="n">
        <v>637</v>
      </c>
      <c r="F209" s="19" t="n">
        <v>1.09</v>
      </c>
      <c r="G209" s="22" t="n">
        <v>73</v>
      </c>
      <c r="H209" s="19" t="n">
        <v>4.8</v>
      </c>
      <c r="I209" s="23" t="s">
        <v>27</v>
      </c>
      <c r="J209" s="19" t="s">
        <v>351</v>
      </c>
    </row>
    <row r="210" customFormat="false" ht="15" hidden="false" customHeight="false" outlineLevel="0" collapsed="false">
      <c r="A210" s="19" t="s">
        <v>246</v>
      </c>
      <c r="B210" s="19" t="s">
        <v>138</v>
      </c>
      <c r="C210" s="19" t="s">
        <v>319</v>
      </c>
      <c r="D210" s="19" t="s">
        <v>545</v>
      </c>
      <c r="E210" s="22" t="n">
        <v>2180</v>
      </c>
      <c r="F210" s="19" t="n">
        <v>7.43</v>
      </c>
      <c r="G210" s="22" t="n">
        <v>73</v>
      </c>
      <c r="H210" s="19" t="n">
        <v>4.6</v>
      </c>
      <c r="I210" s="23" t="s">
        <v>27</v>
      </c>
      <c r="J210" s="19" t="s">
        <v>321</v>
      </c>
    </row>
    <row r="211" customFormat="false" ht="15" hidden="false" customHeight="false" outlineLevel="0" collapsed="false">
      <c r="A211" s="19" t="s">
        <v>252</v>
      </c>
      <c r="B211" s="19" t="s">
        <v>263</v>
      </c>
      <c r="C211" s="19" t="s">
        <v>365</v>
      </c>
      <c r="D211" s="19" t="s">
        <v>546</v>
      </c>
      <c r="E211" s="22" t="n">
        <v>590</v>
      </c>
      <c r="F211" s="19" t="n">
        <v>1.09</v>
      </c>
      <c r="G211" s="22" t="n">
        <v>70</v>
      </c>
      <c r="H211" s="19" t="n">
        <v>4.2</v>
      </c>
      <c r="I211" s="23" t="s">
        <v>27</v>
      </c>
      <c r="J211" s="19" t="s">
        <v>414</v>
      </c>
    </row>
    <row r="212" customFormat="false" ht="15" hidden="false" customHeight="false" outlineLevel="0" collapsed="false">
      <c r="A212" s="19" t="s">
        <v>332</v>
      </c>
      <c r="B212" s="19" t="s">
        <v>138</v>
      </c>
      <c r="C212" s="19" t="s">
        <v>319</v>
      </c>
      <c r="D212" s="19" t="s">
        <v>547</v>
      </c>
      <c r="E212" s="22" t="n">
        <v>674</v>
      </c>
      <c r="F212" s="19" t="n">
        <v>2</v>
      </c>
      <c r="G212" s="22" t="n">
        <v>69</v>
      </c>
      <c r="H212" s="19" t="n">
        <v>4.3</v>
      </c>
      <c r="I212" s="23" t="s">
        <v>27</v>
      </c>
      <c r="J212" s="19" t="s">
        <v>326</v>
      </c>
    </row>
    <row r="213" customFormat="false" ht="15" hidden="false" customHeight="false" outlineLevel="0" collapsed="false">
      <c r="A213" s="19" t="s">
        <v>246</v>
      </c>
      <c r="B213" s="19" t="s">
        <v>254</v>
      </c>
      <c r="C213" s="19" t="s">
        <v>365</v>
      </c>
      <c r="D213" s="19" t="s">
        <v>548</v>
      </c>
      <c r="E213" s="22" t="n">
        <v>1668</v>
      </c>
      <c r="F213" s="19" t="n">
        <v>3.31</v>
      </c>
      <c r="G213" s="22" t="n">
        <v>68</v>
      </c>
      <c r="H213" s="19" t="n">
        <v>4.3</v>
      </c>
      <c r="I213" s="23" t="s">
        <v>27</v>
      </c>
      <c r="J213" s="19" t="s">
        <v>422</v>
      </c>
    </row>
    <row r="214" customFormat="false" ht="15" hidden="false" customHeight="false" outlineLevel="0" collapsed="false">
      <c r="A214" s="19" t="s">
        <v>246</v>
      </c>
      <c r="B214" s="19" t="s">
        <v>138</v>
      </c>
      <c r="C214" s="19" t="s">
        <v>367</v>
      </c>
      <c r="D214" s="19" t="s">
        <v>549</v>
      </c>
      <c r="E214" s="22" t="n">
        <v>617</v>
      </c>
      <c r="F214" s="19" t="n">
        <v>1.09</v>
      </c>
      <c r="G214" s="22" t="n">
        <v>68</v>
      </c>
      <c r="H214" s="19" t="n">
        <v>3.9</v>
      </c>
      <c r="I214" s="23" t="s">
        <v>27</v>
      </c>
      <c r="J214" s="19" t="s">
        <v>351</v>
      </c>
    </row>
    <row r="215" customFormat="false" ht="15" hidden="false" customHeight="false" outlineLevel="0" collapsed="false">
      <c r="A215" s="19" t="s">
        <v>249</v>
      </c>
      <c r="B215" s="19" t="s">
        <v>315</v>
      </c>
      <c r="C215" s="19" t="s">
        <v>316</v>
      </c>
      <c r="D215" s="19" t="s">
        <v>550</v>
      </c>
      <c r="E215" s="22" t="n">
        <v>1016</v>
      </c>
      <c r="F215" s="19"/>
      <c r="G215" s="22" t="n">
        <v>68</v>
      </c>
      <c r="H215" s="19" t="n">
        <v>4.9</v>
      </c>
      <c r="I215" s="23" t="s">
        <v>27</v>
      </c>
      <c r="J215" s="19" t="s">
        <v>428</v>
      </c>
    </row>
    <row r="216" customFormat="false" ht="15" hidden="false" customHeight="false" outlineLevel="0" collapsed="false">
      <c r="A216" s="19" t="s">
        <v>246</v>
      </c>
      <c r="B216" s="19" t="s">
        <v>138</v>
      </c>
      <c r="C216" s="19" t="s">
        <v>319</v>
      </c>
      <c r="D216" s="19" t="s">
        <v>551</v>
      </c>
      <c r="E216" s="22" t="n">
        <v>986</v>
      </c>
      <c r="F216" s="19" t="n">
        <v>5.71</v>
      </c>
      <c r="G216" s="22" t="n">
        <v>68</v>
      </c>
      <c r="H216" s="19" t="n">
        <v>4.8</v>
      </c>
      <c r="I216" s="23" t="s">
        <v>27</v>
      </c>
      <c r="J216" s="19" t="s">
        <v>321</v>
      </c>
    </row>
    <row r="217" customFormat="false" ht="15" hidden="false" customHeight="false" outlineLevel="0" collapsed="false">
      <c r="A217" s="19" t="s">
        <v>249</v>
      </c>
      <c r="B217" s="19" t="s">
        <v>138</v>
      </c>
      <c r="C217" s="19" t="s">
        <v>319</v>
      </c>
      <c r="D217" s="19" t="s">
        <v>552</v>
      </c>
      <c r="E217" s="22" t="n">
        <v>1979</v>
      </c>
      <c r="F217" s="19" t="n">
        <v>17.5</v>
      </c>
      <c r="G217" s="22" t="n">
        <v>67</v>
      </c>
      <c r="H217" s="19" t="n">
        <v>4.2</v>
      </c>
      <c r="I217" s="23" t="s">
        <v>27</v>
      </c>
      <c r="J217" s="19" t="s">
        <v>330</v>
      </c>
    </row>
    <row r="218" customFormat="false" ht="15" hidden="false" customHeight="false" outlineLevel="0" collapsed="false">
      <c r="A218" s="19" t="s">
        <v>252</v>
      </c>
      <c r="B218" s="19" t="s">
        <v>138</v>
      </c>
      <c r="C218" s="19" t="s">
        <v>446</v>
      </c>
      <c r="D218" s="19" t="s">
        <v>553</v>
      </c>
      <c r="E218" s="22" t="n">
        <v>2038</v>
      </c>
      <c r="F218" s="19"/>
      <c r="G218" s="22" t="n">
        <v>65</v>
      </c>
      <c r="H218" s="19"/>
      <c r="I218" s="23" t="s">
        <v>27</v>
      </c>
      <c r="J218" s="19" t="s">
        <v>318</v>
      </c>
    </row>
    <row r="219" customFormat="false" ht="15" hidden="false" customHeight="false" outlineLevel="0" collapsed="false">
      <c r="A219" s="19" t="s">
        <v>252</v>
      </c>
      <c r="B219" s="19" t="s">
        <v>138</v>
      </c>
      <c r="C219" s="19" t="s">
        <v>319</v>
      </c>
      <c r="D219" s="19" t="s">
        <v>554</v>
      </c>
      <c r="E219" s="22" t="n">
        <v>306</v>
      </c>
      <c r="F219" s="19"/>
      <c r="G219" s="22" t="n">
        <v>65</v>
      </c>
      <c r="H219" s="19"/>
      <c r="I219" s="23" t="s">
        <v>27</v>
      </c>
      <c r="J219" s="19" t="s">
        <v>390</v>
      </c>
    </row>
    <row r="220" customFormat="false" ht="15" hidden="false" customHeight="false" outlineLevel="0" collapsed="false">
      <c r="A220" s="19" t="s">
        <v>252</v>
      </c>
      <c r="B220" s="19" t="s">
        <v>272</v>
      </c>
      <c r="C220" s="19" t="s">
        <v>365</v>
      </c>
      <c r="D220" s="19" t="s">
        <v>555</v>
      </c>
      <c r="E220" s="22" t="n">
        <v>925</v>
      </c>
      <c r="F220" s="19" t="n">
        <v>5.98</v>
      </c>
      <c r="G220" s="22" t="n">
        <v>64</v>
      </c>
      <c r="H220" s="19"/>
      <c r="I220" s="23" t="s">
        <v>27</v>
      </c>
      <c r="J220" s="19" t="s">
        <v>370</v>
      </c>
    </row>
    <row r="221" customFormat="false" ht="15" hidden="false" customHeight="false" outlineLevel="0" collapsed="false">
      <c r="A221" s="19" t="s">
        <v>246</v>
      </c>
      <c r="B221" s="19" t="s">
        <v>254</v>
      </c>
      <c r="C221" s="19" t="s">
        <v>365</v>
      </c>
      <c r="D221" s="19" t="s">
        <v>556</v>
      </c>
      <c r="E221" s="22" t="n">
        <v>1355</v>
      </c>
      <c r="F221" s="19" t="n">
        <v>1.09</v>
      </c>
      <c r="G221" s="22" t="n">
        <v>64</v>
      </c>
      <c r="H221" s="19" t="n">
        <v>4.2</v>
      </c>
      <c r="I221" s="23" t="s">
        <v>27</v>
      </c>
      <c r="J221" s="19" t="s">
        <v>351</v>
      </c>
    </row>
    <row r="222" customFormat="false" ht="15" hidden="false" customHeight="false" outlineLevel="0" collapsed="false">
      <c r="A222" s="19" t="s">
        <v>249</v>
      </c>
      <c r="B222" s="19" t="s">
        <v>138</v>
      </c>
      <c r="C222" s="19" t="s">
        <v>319</v>
      </c>
      <c r="D222" s="19" t="s">
        <v>557</v>
      </c>
      <c r="E222" s="22" t="n">
        <v>403</v>
      </c>
      <c r="F222" s="19"/>
      <c r="G222" s="22" t="n">
        <v>64</v>
      </c>
      <c r="H222" s="19" t="n">
        <v>4.8</v>
      </c>
      <c r="I222" s="23" t="s">
        <v>27</v>
      </c>
      <c r="J222" s="19" t="s">
        <v>330</v>
      </c>
    </row>
    <row r="223" customFormat="false" ht="15" hidden="false" customHeight="false" outlineLevel="0" collapsed="false">
      <c r="A223" s="19" t="s">
        <v>252</v>
      </c>
      <c r="B223" s="19" t="s">
        <v>267</v>
      </c>
      <c r="C223" s="19" t="s">
        <v>365</v>
      </c>
      <c r="D223" s="19" t="s">
        <v>558</v>
      </c>
      <c r="E223" s="22" t="n">
        <v>668</v>
      </c>
      <c r="F223" s="19" t="n">
        <v>1.09</v>
      </c>
      <c r="G223" s="22" t="n">
        <v>63</v>
      </c>
      <c r="H223" s="19" t="n">
        <v>4.5</v>
      </c>
      <c r="I223" s="23" t="s">
        <v>27</v>
      </c>
      <c r="J223" s="19" t="s">
        <v>479</v>
      </c>
    </row>
    <row r="224" customFormat="false" ht="15" hidden="false" customHeight="false" outlineLevel="0" collapsed="false">
      <c r="A224" s="19" t="s">
        <v>249</v>
      </c>
      <c r="B224" s="19" t="s">
        <v>138</v>
      </c>
      <c r="C224" s="19" t="s">
        <v>367</v>
      </c>
      <c r="D224" s="19" t="s">
        <v>559</v>
      </c>
      <c r="E224" s="22" t="n">
        <v>2082</v>
      </c>
      <c r="F224" s="19" t="n">
        <v>1.76</v>
      </c>
      <c r="G224" s="22" t="n">
        <v>62</v>
      </c>
      <c r="H224" s="19" t="n">
        <v>4.4</v>
      </c>
      <c r="I224" s="23" t="s">
        <v>27</v>
      </c>
      <c r="J224" s="19" t="s">
        <v>364</v>
      </c>
    </row>
    <row r="225" customFormat="false" ht="15" hidden="false" customHeight="false" outlineLevel="0" collapsed="false">
      <c r="A225" s="19" t="s">
        <v>246</v>
      </c>
      <c r="B225" s="19" t="s">
        <v>138</v>
      </c>
      <c r="C225" s="19" t="s">
        <v>319</v>
      </c>
      <c r="D225" s="19" t="s">
        <v>560</v>
      </c>
      <c r="E225" s="22" t="n">
        <v>3323</v>
      </c>
      <c r="F225" s="19"/>
      <c r="G225" s="22" t="n">
        <v>62</v>
      </c>
      <c r="H225" s="19" t="n">
        <v>4.4</v>
      </c>
      <c r="I225" s="23" t="s">
        <v>27</v>
      </c>
      <c r="J225" s="19" t="s">
        <v>326</v>
      </c>
    </row>
    <row r="226" customFormat="false" ht="15" hidden="false" customHeight="false" outlineLevel="0" collapsed="false">
      <c r="A226" s="19" t="s">
        <v>252</v>
      </c>
      <c r="B226" s="19" t="s">
        <v>138</v>
      </c>
      <c r="C226" s="19" t="s">
        <v>319</v>
      </c>
      <c r="D226" s="19" t="s">
        <v>561</v>
      </c>
      <c r="E226" s="22" t="n">
        <v>557</v>
      </c>
      <c r="F226" s="19"/>
      <c r="G226" s="22" t="n">
        <v>62</v>
      </c>
      <c r="H226" s="19"/>
      <c r="I226" s="23" t="s">
        <v>27</v>
      </c>
      <c r="J226" s="19" t="s">
        <v>345</v>
      </c>
    </row>
    <row r="227" customFormat="false" ht="15" hidden="false" customHeight="false" outlineLevel="0" collapsed="false">
      <c r="A227" s="19" t="s">
        <v>246</v>
      </c>
      <c r="B227" s="19" t="s">
        <v>138</v>
      </c>
      <c r="C227" s="19" t="s">
        <v>446</v>
      </c>
      <c r="D227" s="19" t="s">
        <v>562</v>
      </c>
      <c r="E227" s="22" t="n">
        <v>919</v>
      </c>
      <c r="F227" s="19"/>
      <c r="G227" s="22" t="n">
        <v>61</v>
      </c>
      <c r="H227" s="19" t="n">
        <v>4.7</v>
      </c>
      <c r="I227" s="23" t="s">
        <v>27</v>
      </c>
      <c r="J227" s="19" t="s">
        <v>422</v>
      </c>
    </row>
    <row r="228" customFormat="false" ht="15" hidden="false" customHeight="false" outlineLevel="0" collapsed="false">
      <c r="A228" s="19" t="s">
        <v>249</v>
      </c>
      <c r="B228" s="19" t="s">
        <v>244</v>
      </c>
      <c r="C228" s="19" t="s">
        <v>365</v>
      </c>
      <c r="D228" s="19" t="s">
        <v>563</v>
      </c>
      <c r="E228" s="22" t="n">
        <v>2283</v>
      </c>
      <c r="F228" s="19"/>
      <c r="G228" s="22" t="n">
        <v>61</v>
      </c>
      <c r="H228" s="19" t="n">
        <v>3.8</v>
      </c>
      <c r="I228" s="23" t="s">
        <v>27</v>
      </c>
      <c r="J228" s="19" t="s">
        <v>428</v>
      </c>
    </row>
    <row r="229" customFormat="false" ht="15" hidden="false" customHeight="false" outlineLevel="0" collapsed="false">
      <c r="A229" s="19" t="s">
        <v>246</v>
      </c>
      <c r="B229" s="19" t="s">
        <v>138</v>
      </c>
      <c r="C229" s="19" t="s">
        <v>319</v>
      </c>
      <c r="D229" s="19" t="s">
        <v>564</v>
      </c>
      <c r="E229" s="22" t="n">
        <v>2654</v>
      </c>
      <c r="F229" s="19" t="n">
        <v>10.13</v>
      </c>
      <c r="G229" s="22" t="n">
        <v>61</v>
      </c>
      <c r="H229" s="19" t="n">
        <v>3.9</v>
      </c>
      <c r="I229" s="23" t="s">
        <v>27</v>
      </c>
      <c r="J229" s="19" t="s">
        <v>321</v>
      </c>
    </row>
    <row r="230" customFormat="false" ht="15" hidden="false" customHeight="false" outlineLevel="0" collapsed="false">
      <c r="A230" s="19" t="s">
        <v>249</v>
      </c>
      <c r="B230" s="19" t="s">
        <v>138</v>
      </c>
      <c r="C230" s="19" t="s">
        <v>319</v>
      </c>
      <c r="D230" s="19" t="s">
        <v>565</v>
      </c>
      <c r="E230" s="22" t="n">
        <v>2375</v>
      </c>
      <c r="F230" s="19" t="n">
        <v>22.21</v>
      </c>
      <c r="G230" s="22" t="n">
        <v>61</v>
      </c>
      <c r="H230" s="19" t="n">
        <v>4.4</v>
      </c>
      <c r="I230" s="23" t="s">
        <v>27</v>
      </c>
      <c r="J230" s="19" t="s">
        <v>330</v>
      </c>
    </row>
    <row r="231" customFormat="false" ht="15" hidden="false" customHeight="false" outlineLevel="0" collapsed="false">
      <c r="A231" s="19" t="s">
        <v>252</v>
      </c>
      <c r="B231" s="19" t="s">
        <v>138</v>
      </c>
      <c r="C231" s="19" t="s">
        <v>367</v>
      </c>
      <c r="D231" s="19" t="s">
        <v>566</v>
      </c>
      <c r="E231" s="22" t="n">
        <v>92</v>
      </c>
      <c r="F231" s="19"/>
      <c r="G231" s="22" t="n">
        <v>60</v>
      </c>
      <c r="H231" s="19"/>
      <c r="I231" s="23" t="s">
        <v>27</v>
      </c>
      <c r="J231" s="19" t="s">
        <v>390</v>
      </c>
    </row>
    <row r="232" customFormat="false" ht="15" hidden="false" customHeight="false" outlineLevel="0" collapsed="false">
      <c r="A232" s="19" t="s">
        <v>246</v>
      </c>
      <c r="B232" s="19" t="s">
        <v>254</v>
      </c>
      <c r="C232" s="19" t="s">
        <v>365</v>
      </c>
      <c r="D232" s="19" t="s">
        <v>567</v>
      </c>
      <c r="E232" s="22" t="n">
        <v>375</v>
      </c>
      <c r="F232" s="19"/>
      <c r="G232" s="22" t="n">
        <v>60</v>
      </c>
      <c r="H232" s="19" t="n">
        <v>3.2</v>
      </c>
      <c r="I232" s="23" t="s">
        <v>27</v>
      </c>
      <c r="J232" s="19" t="s">
        <v>351</v>
      </c>
    </row>
    <row r="233" customFormat="false" ht="15" hidden="false" customHeight="false" outlineLevel="0" collapsed="false">
      <c r="A233" s="19" t="s">
        <v>249</v>
      </c>
      <c r="B233" s="19" t="s">
        <v>138</v>
      </c>
      <c r="C233" s="19" t="s">
        <v>319</v>
      </c>
      <c r="D233" s="19" t="s">
        <v>568</v>
      </c>
      <c r="E233" s="22" t="n">
        <v>2035</v>
      </c>
      <c r="F233" s="19"/>
      <c r="G233" s="22" t="n">
        <v>60</v>
      </c>
      <c r="H233" s="19"/>
      <c r="I233" s="23" t="s">
        <v>27</v>
      </c>
      <c r="J233" s="19" t="s">
        <v>330</v>
      </c>
    </row>
    <row r="234" customFormat="false" ht="15" hidden="false" customHeight="false" outlineLevel="0" collapsed="false">
      <c r="A234" s="19" t="s">
        <v>252</v>
      </c>
      <c r="B234" s="19" t="s">
        <v>138</v>
      </c>
      <c r="C234" s="19" t="s">
        <v>319</v>
      </c>
      <c r="D234" s="19" t="s">
        <v>569</v>
      </c>
      <c r="E234" s="22" t="n">
        <v>618</v>
      </c>
      <c r="F234" s="19"/>
      <c r="G234" s="22" t="n">
        <v>59</v>
      </c>
      <c r="H234" s="19" t="n">
        <v>4.7</v>
      </c>
      <c r="I234" s="23" t="s">
        <v>27</v>
      </c>
      <c r="J234" s="19" t="s">
        <v>345</v>
      </c>
    </row>
    <row r="235" customFormat="false" ht="15" hidden="false" customHeight="false" outlineLevel="0" collapsed="false">
      <c r="A235" s="19" t="s">
        <v>252</v>
      </c>
      <c r="B235" s="19" t="s">
        <v>138</v>
      </c>
      <c r="C235" s="19" t="s">
        <v>319</v>
      </c>
      <c r="D235" s="19" t="s">
        <v>570</v>
      </c>
      <c r="E235" s="22" t="n">
        <v>448</v>
      </c>
      <c r="F235" s="19"/>
      <c r="G235" s="22" t="n">
        <v>58</v>
      </c>
      <c r="H235" s="19" t="n">
        <v>4.9</v>
      </c>
      <c r="I235" s="23" t="s">
        <v>27</v>
      </c>
      <c r="J235" s="19" t="s">
        <v>339</v>
      </c>
    </row>
    <row r="236" customFormat="false" ht="15" hidden="false" customHeight="false" outlineLevel="0" collapsed="false">
      <c r="A236" s="19" t="s">
        <v>249</v>
      </c>
      <c r="B236" s="19" t="s">
        <v>254</v>
      </c>
      <c r="C236" s="19" t="s">
        <v>365</v>
      </c>
      <c r="D236" s="19" t="s">
        <v>571</v>
      </c>
      <c r="E236" s="22" t="n">
        <v>3358</v>
      </c>
      <c r="F236" s="19" t="n">
        <v>8.88</v>
      </c>
      <c r="G236" s="22" t="n">
        <v>56</v>
      </c>
      <c r="H236" s="19" t="n">
        <v>4.4</v>
      </c>
      <c r="I236" s="23" t="s">
        <v>27</v>
      </c>
      <c r="J236" s="19" t="s">
        <v>364</v>
      </c>
    </row>
    <row r="237" customFormat="false" ht="15" hidden="false" customHeight="false" outlineLevel="0" collapsed="false">
      <c r="A237" s="19" t="s">
        <v>249</v>
      </c>
      <c r="B237" s="19" t="s">
        <v>138</v>
      </c>
      <c r="C237" s="19" t="s">
        <v>319</v>
      </c>
      <c r="D237" s="19" t="s">
        <v>572</v>
      </c>
      <c r="E237" s="22" t="n">
        <v>866</v>
      </c>
      <c r="F237" s="19"/>
      <c r="G237" s="22" t="n">
        <v>55</v>
      </c>
      <c r="H237" s="19" t="n">
        <v>4.6</v>
      </c>
      <c r="I237" s="23" t="s">
        <v>27</v>
      </c>
      <c r="J237" s="19" t="s">
        <v>330</v>
      </c>
    </row>
    <row r="238" customFormat="false" ht="15" hidden="false" customHeight="false" outlineLevel="0" collapsed="false">
      <c r="A238" s="19" t="s">
        <v>249</v>
      </c>
      <c r="B238" s="19" t="s">
        <v>138</v>
      </c>
      <c r="C238" s="19" t="s">
        <v>319</v>
      </c>
      <c r="D238" s="19" t="s">
        <v>573</v>
      </c>
      <c r="E238" s="22" t="n">
        <v>1647</v>
      </c>
      <c r="F238" s="19"/>
      <c r="G238" s="22" t="n">
        <v>55</v>
      </c>
      <c r="H238" s="19" t="n">
        <v>4.8</v>
      </c>
      <c r="I238" s="23" t="s">
        <v>27</v>
      </c>
      <c r="J238" s="19" t="s">
        <v>330</v>
      </c>
    </row>
    <row r="239" customFormat="false" ht="15" hidden="false" customHeight="false" outlineLevel="0" collapsed="false">
      <c r="A239" s="19" t="s">
        <v>252</v>
      </c>
      <c r="B239" s="19" t="s">
        <v>272</v>
      </c>
      <c r="C239" s="19" t="s">
        <v>365</v>
      </c>
      <c r="D239" s="19" t="s">
        <v>574</v>
      </c>
      <c r="E239" s="22" t="n">
        <v>1581</v>
      </c>
      <c r="F239" s="19" t="n">
        <v>12.78</v>
      </c>
      <c r="G239" s="22" t="n">
        <v>53</v>
      </c>
      <c r="H239" s="19"/>
      <c r="I239" s="23" t="s">
        <v>27</v>
      </c>
      <c r="J239" s="19" t="s">
        <v>370</v>
      </c>
    </row>
    <row r="240" customFormat="false" ht="15" hidden="false" customHeight="false" outlineLevel="0" collapsed="false">
      <c r="A240" s="19" t="s">
        <v>252</v>
      </c>
      <c r="B240" s="19" t="s">
        <v>138</v>
      </c>
      <c r="C240" s="19" t="s">
        <v>319</v>
      </c>
      <c r="D240" s="19" t="s">
        <v>575</v>
      </c>
      <c r="E240" s="22" t="n">
        <v>516</v>
      </c>
      <c r="F240" s="19"/>
      <c r="G240" s="22" t="n">
        <v>52</v>
      </c>
      <c r="H240" s="19"/>
      <c r="I240" s="23" t="s">
        <v>27</v>
      </c>
      <c r="J240" s="19" t="s">
        <v>390</v>
      </c>
    </row>
    <row r="241" customFormat="false" ht="15" hidden="false" customHeight="false" outlineLevel="0" collapsed="false">
      <c r="A241" s="19" t="s">
        <v>246</v>
      </c>
      <c r="B241" s="19" t="s">
        <v>138</v>
      </c>
      <c r="C241" s="19" t="s">
        <v>319</v>
      </c>
      <c r="D241" s="19" t="s">
        <v>576</v>
      </c>
      <c r="E241" s="22" t="n">
        <v>984</v>
      </c>
      <c r="F241" s="19" t="n">
        <v>5.69</v>
      </c>
      <c r="G241" s="22" t="n">
        <v>52</v>
      </c>
      <c r="H241" s="19" t="n">
        <v>4.2</v>
      </c>
      <c r="I241" s="23" t="s">
        <v>27</v>
      </c>
      <c r="J241" s="19" t="s">
        <v>321</v>
      </c>
    </row>
    <row r="242" customFormat="false" ht="15" hidden="false" customHeight="false" outlineLevel="0" collapsed="false">
      <c r="A242" s="19" t="s">
        <v>252</v>
      </c>
      <c r="B242" s="19" t="s">
        <v>138</v>
      </c>
      <c r="C242" s="19" t="s">
        <v>367</v>
      </c>
      <c r="D242" s="19" t="s">
        <v>577</v>
      </c>
      <c r="E242" s="22" t="n">
        <v>755</v>
      </c>
      <c r="F242" s="19"/>
      <c r="G242" s="22" t="n">
        <v>51</v>
      </c>
      <c r="H242" s="19" t="n">
        <v>4.8</v>
      </c>
      <c r="I242" s="23" t="s">
        <v>27</v>
      </c>
      <c r="J242" s="19" t="s">
        <v>318</v>
      </c>
    </row>
    <row r="243" customFormat="false" ht="15" hidden="false" customHeight="false" outlineLevel="0" collapsed="false">
      <c r="A243" s="19" t="s">
        <v>246</v>
      </c>
      <c r="B243" s="19" t="s">
        <v>254</v>
      </c>
      <c r="C243" s="19" t="s">
        <v>365</v>
      </c>
      <c r="D243" s="19" t="s">
        <v>578</v>
      </c>
      <c r="E243" s="22" t="n">
        <v>1649</v>
      </c>
      <c r="F243" s="19" t="n">
        <v>1.88</v>
      </c>
      <c r="G243" s="22" t="n">
        <v>51</v>
      </c>
      <c r="H243" s="19"/>
      <c r="I243" s="23" t="s">
        <v>27</v>
      </c>
      <c r="J243" s="19" t="s">
        <v>351</v>
      </c>
    </row>
    <row r="244" customFormat="false" ht="15" hidden="false" customHeight="false" outlineLevel="0" collapsed="false">
      <c r="A244" s="19" t="s">
        <v>249</v>
      </c>
      <c r="B244" s="19" t="s">
        <v>138</v>
      </c>
      <c r="C244" s="19" t="s">
        <v>319</v>
      </c>
      <c r="D244" s="19" t="s">
        <v>579</v>
      </c>
      <c r="E244" s="22" t="n">
        <v>2184</v>
      </c>
      <c r="F244" s="19" t="n">
        <v>6.97</v>
      </c>
      <c r="G244" s="22" t="n">
        <v>50</v>
      </c>
      <c r="H244" s="19" t="n">
        <v>3.4</v>
      </c>
      <c r="I244" s="23" t="s">
        <v>27</v>
      </c>
      <c r="J244" s="19" t="s">
        <v>330</v>
      </c>
    </row>
    <row r="245" customFormat="false" ht="15" hidden="false" customHeight="false" outlineLevel="0" collapsed="false">
      <c r="A245" s="19" t="s">
        <v>249</v>
      </c>
      <c r="B245" s="19" t="s">
        <v>138</v>
      </c>
      <c r="C245" s="19" t="s">
        <v>367</v>
      </c>
      <c r="D245" s="19" t="s">
        <v>580</v>
      </c>
      <c r="E245" s="22" t="n">
        <v>1306</v>
      </c>
      <c r="F245" s="19" t="n">
        <v>7.51</v>
      </c>
      <c r="G245" s="22" t="n">
        <v>49</v>
      </c>
      <c r="H245" s="19" t="n">
        <v>4.7</v>
      </c>
      <c r="I245" s="23" t="s">
        <v>27</v>
      </c>
      <c r="J245" s="19" t="s">
        <v>428</v>
      </c>
    </row>
    <row r="246" customFormat="false" ht="15" hidden="false" customHeight="false" outlineLevel="0" collapsed="false">
      <c r="A246" s="19" t="s">
        <v>252</v>
      </c>
      <c r="B246" s="19" t="s">
        <v>138</v>
      </c>
      <c r="C246" s="19" t="s">
        <v>446</v>
      </c>
      <c r="D246" s="19" t="s">
        <v>581</v>
      </c>
      <c r="E246" s="22" t="n">
        <v>800</v>
      </c>
      <c r="F246" s="19" t="n">
        <v>2.5</v>
      </c>
      <c r="G246" s="22" t="n">
        <v>48</v>
      </c>
      <c r="H246" s="19" t="n">
        <v>4.9</v>
      </c>
      <c r="I246" s="23" t="s">
        <v>27</v>
      </c>
      <c r="J246" s="19" t="s">
        <v>318</v>
      </c>
    </row>
    <row r="247" customFormat="false" ht="15" hidden="false" customHeight="false" outlineLevel="0" collapsed="false">
      <c r="A247" s="19" t="s">
        <v>252</v>
      </c>
      <c r="B247" s="19" t="s">
        <v>138</v>
      </c>
      <c r="C247" s="19" t="s">
        <v>319</v>
      </c>
      <c r="D247" s="19" t="s">
        <v>582</v>
      </c>
      <c r="E247" s="22" t="n">
        <v>448</v>
      </c>
      <c r="F247" s="19"/>
      <c r="G247" s="22" t="n">
        <v>48</v>
      </c>
      <c r="H247" s="19"/>
      <c r="I247" s="23" t="s">
        <v>27</v>
      </c>
      <c r="J247" s="19" t="s">
        <v>390</v>
      </c>
    </row>
    <row r="248" customFormat="false" ht="15" hidden="false" customHeight="false" outlineLevel="0" collapsed="false">
      <c r="A248" s="19" t="s">
        <v>246</v>
      </c>
      <c r="B248" s="19" t="s">
        <v>138</v>
      </c>
      <c r="C248" s="19" t="s">
        <v>319</v>
      </c>
      <c r="D248" s="19" t="s">
        <v>583</v>
      </c>
      <c r="E248" s="22" t="n">
        <v>1599</v>
      </c>
      <c r="F248" s="19"/>
      <c r="G248" s="22" t="n">
        <v>47</v>
      </c>
      <c r="H248" s="19" t="n">
        <v>3.9</v>
      </c>
      <c r="I248" s="23" t="s">
        <v>27</v>
      </c>
      <c r="J248" s="19" t="s">
        <v>326</v>
      </c>
    </row>
    <row r="249" customFormat="false" ht="15" hidden="false" customHeight="false" outlineLevel="0" collapsed="false">
      <c r="A249" s="19" t="s">
        <v>252</v>
      </c>
      <c r="B249" s="19" t="s">
        <v>138</v>
      </c>
      <c r="C249" s="19" t="s">
        <v>319</v>
      </c>
      <c r="D249" s="19" t="s">
        <v>584</v>
      </c>
      <c r="E249" s="22" t="n">
        <v>360</v>
      </c>
      <c r="F249" s="19"/>
      <c r="G249" s="22" t="n">
        <v>46</v>
      </c>
      <c r="H249" s="19" t="n">
        <v>4.9</v>
      </c>
      <c r="I249" s="23" t="s">
        <v>27</v>
      </c>
      <c r="J249" s="19" t="s">
        <v>345</v>
      </c>
    </row>
    <row r="250" customFormat="false" ht="15" hidden="false" customHeight="false" outlineLevel="0" collapsed="false">
      <c r="A250" s="19" t="s">
        <v>246</v>
      </c>
      <c r="B250" s="19" t="s">
        <v>138</v>
      </c>
      <c r="C250" s="19" t="s">
        <v>446</v>
      </c>
      <c r="D250" s="19" t="s">
        <v>585</v>
      </c>
      <c r="E250" s="22" t="n">
        <v>418</v>
      </c>
      <c r="F250" s="19"/>
      <c r="G250" s="22" t="n">
        <v>45</v>
      </c>
      <c r="H250" s="19"/>
      <c r="I250" s="23" t="s">
        <v>27</v>
      </c>
      <c r="J250" s="19" t="s">
        <v>372</v>
      </c>
    </row>
    <row r="251" customFormat="false" ht="15" hidden="false" customHeight="false" outlineLevel="0" collapsed="false">
      <c r="A251" s="19" t="s">
        <v>249</v>
      </c>
      <c r="B251" s="19" t="s">
        <v>244</v>
      </c>
      <c r="C251" s="19" t="s">
        <v>365</v>
      </c>
      <c r="D251" s="19" t="s">
        <v>586</v>
      </c>
      <c r="E251" s="22" t="n">
        <v>1928</v>
      </c>
      <c r="F251" s="19"/>
      <c r="G251" s="22" t="n">
        <v>45</v>
      </c>
      <c r="H251" s="19" t="n">
        <v>4.6</v>
      </c>
      <c r="I251" s="23" t="s">
        <v>27</v>
      </c>
      <c r="J251" s="19" t="s">
        <v>428</v>
      </c>
    </row>
    <row r="252" customFormat="false" ht="15" hidden="false" customHeight="false" outlineLevel="0" collapsed="false">
      <c r="A252" s="19" t="s">
        <v>249</v>
      </c>
      <c r="B252" s="19" t="s">
        <v>138</v>
      </c>
      <c r="C252" s="19" t="s">
        <v>530</v>
      </c>
      <c r="D252" s="19" t="s">
        <v>587</v>
      </c>
      <c r="E252" s="22" t="n">
        <v>2054</v>
      </c>
      <c r="F252" s="19"/>
      <c r="G252" s="22" t="n">
        <v>45</v>
      </c>
      <c r="H252" s="19"/>
      <c r="I252" s="23" t="s">
        <v>27</v>
      </c>
      <c r="J252" s="19" t="s">
        <v>539</v>
      </c>
    </row>
    <row r="253" customFormat="false" ht="15" hidden="false" customHeight="false" outlineLevel="0" collapsed="false">
      <c r="A253" s="19" t="s">
        <v>246</v>
      </c>
      <c r="B253" s="19" t="s">
        <v>138</v>
      </c>
      <c r="C253" s="19" t="s">
        <v>446</v>
      </c>
      <c r="D253" s="19" t="s">
        <v>588</v>
      </c>
      <c r="E253" s="22" t="n">
        <v>1765</v>
      </c>
      <c r="F253" s="19" t="n">
        <v>2.72</v>
      </c>
      <c r="G253" s="22" t="n">
        <v>44</v>
      </c>
      <c r="H253" s="19" t="n">
        <v>4.4</v>
      </c>
      <c r="I253" s="23" t="s">
        <v>27</v>
      </c>
      <c r="J253" s="19" t="s">
        <v>388</v>
      </c>
    </row>
    <row r="254" customFormat="false" ht="15" hidden="false" customHeight="false" outlineLevel="0" collapsed="false">
      <c r="A254" s="19" t="s">
        <v>246</v>
      </c>
      <c r="B254" s="19" t="s">
        <v>272</v>
      </c>
      <c r="C254" s="19" t="s">
        <v>365</v>
      </c>
      <c r="D254" s="19" t="s">
        <v>589</v>
      </c>
      <c r="E254" s="22" t="n">
        <v>717</v>
      </c>
      <c r="F254" s="19"/>
      <c r="G254" s="22" t="n">
        <v>43</v>
      </c>
      <c r="H254" s="19" t="n">
        <v>3.2</v>
      </c>
      <c r="I254" s="23" t="s">
        <v>27</v>
      </c>
      <c r="J254" s="19" t="s">
        <v>479</v>
      </c>
    </row>
    <row r="255" customFormat="false" ht="15" hidden="false" customHeight="false" outlineLevel="0" collapsed="false">
      <c r="A255" s="19" t="s">
        <v>246</v>
      </c>
      <c r="B255" s="19" t="s">
        <v>590</v>
      </c>
      <c r="C255" s="19" t="s">
        <v>365</v>
      </c>
      <c r="D255" s="19" t="s">
        <v>591</v>
      </c>
      <c r="E255" s="22" t="n">
        <v>1714</v>
      </c>
      <c r="F255" s="19" t="n">
        <v>1.09</v>
      </c>
      <c r="G255" s="22" t="n">
        <v>43</v>
      </c>
      <c r="H255" s="19" t="n">
        <v>1.5</v>
      </c>
      <c r="I255" s="23" t="s">
        <v>27</v>
      </c>
      <c r="J255" s="19" t="s">
        <v>372</v>
      </c>
    </row>
    <row r="256" customFormat="false" ht="15" hidden="false" customHeight="false" outlineLevel="0" collapsed="false">
      <c r="A256" s="19" t="s">
        <v>249</v>
      </c>
      <c r="B256" s="19" t="s">
        <v>138</v>
      </c>
      <c r="C256" s="19" t="s">
        <v>319</v>
      </c>
      <c r="D256" s="19" t="s">
        <v>592</v>
      </c>
      <c r="E256" s="22" t="n">
        <v>1411</v>
      </c>
      <c r="F256" s="19"/>
      <c r="G256" s="22" t="n">
        <v>43</v>
      </c>
      <c r="H256" s="19" t="n">
        <v>3.9</v>
      </c>
      <c r="I256" s="23" t="s">
        <v>27</v>
      </c>
      <c r="J256" s="19" t="s">
        <v>330</v>
      </c>
    </row>
    <row r="257" customFormat="false" ht="15" hidden="false" customHeight="false" outlineLevel="0" collapsed="false">
      <c r="A257" s="19" t="s">
        <v>249</v>
      </c>
      <c r="B257" s="19" t="s">
        <v>138</v>
      </c>
      <c r="C257" s="19" t="s">
        <v>319</v>
      </c>
      <c r="D257" s="19" t="s">
        <v>593</v>
      </c>
      <c r="E257" s="22" t="n">
        <v>1433</v>
      </c>
      <c r="F257" s="19" t="n">
        <v>11.02</v>
      </c>
      <c r="G257" s="22" t="n">
        <v>43</v>
      </c>
      <c r="H257" s="19" t="n">
        <v>4.7</v>
      </c>
      <c r="I257" s="23" t="s">
        <v>27</v>
      </c>
      <c r="J257" s="19" t="s">
        <v>330</v>
      </c>
    </row>
    <row r="258" customFormat="false" ht="15" hidden="false" customHeight="false" outlineLevel="0" collapsed="false">
      <c r="A258" s="19" t="s">
        <v>252</v>
      </c>
      <c r="B258" s="19" t="s">
        <v>138</v>
      </c>
      <c r="C258" s="19" t="s">
        <v>319</v>
      </c>
      <c r="D258" s="19" t="s">
        <v>594</v>
      </c>
      <c r="E258" s="22" t="n">
        <v>469</v>
      </c>
      <c r="F258" s="19" t="n">
        <v>1.09</v>
      </c>
      <c r="G258" s="22" t="n">
        <v>42</v>
      </c>
      <c r="H258" s="19" t="n">
        <v>4.8</v>
      </c>
      <c r="I258" s="23" t="s">
        <v>27</v>
      </c>
      <c r="J258" s="19" t="s">
        <v>339</v>
      </c>
    </row>
    <row r="259" customFormat="false" ht="15" hidden="false" customHeight="false" outlineLevel="0" collapsed="false">
      <c r="A259" s="19" t="s">
        <v>252</v>
      </c>
      <c r="B259" s="19" t="s">
        <v>267</v>
      </c>
      <c r="C259" s="19" t="s">
        <v>365</v>
      </c>
      <c r="D259" s="19" t="s">
        <v>595</v>
      </c>
      <c r="E259" s="22" t="n">
        <v>712</v>
      </c>
      <c r="F259" s="19" t="n">
        <v>3.22</v>
      </c>
      <c r="G259" s="22" t="n">
        <v>42</v>
      </c>
      <c r="H259" s="19" t="n">
        <v>4.5</v>
      </c>
      <c r="I259" s="23" t="s">
        <v>27</v>
      </c>
      <c r="J259" s="19" t="s">
        <v>430</v>
      </c>
    </row>
    <row r="260" customFormat="false" ht="15" hidden="false" customHeight="false" outlineLevel="0" collapsed="false">
      <c r="A260" s="19" t="s">
        <v>249</v>
      </c>
      <c r="B260" s="19" t="s">
        <v>138</v>
      </c>
      <c r="C260" s="19" t="s">
        <v>319</v>
      </c>
      <c r="D260" s="19" t="s">
        <v>596</v>
      </c>
      <c r="E260" s="22" t="n">
        <v>1802</v>
      </c>
      <c r="F260" s="19"/>
      <c r="G260" s="22" t="n">
        <v>42</v>
      </c>
      <c r="H260" s="19" t="n">
        <v>4.8</v>
      </c>
      <c r="I260" s="23" t="s">
        <v>27</v>
      </c>
      <c r="J260" s="19" t="s">
        <v>330</v>
      </c>
    </row>
    <row r="261" customFormat="false" ht="15" hidden="false" customHeight="false" outlineLevel="0" collapsed="false">
      <c r="A261" s="19" t="s">
        <v>252</v>
      </c>
      <c r="B261" s="19" t="s">
        <v>315</v>
      </c>
      <c r="C261" s="19" t="s">
        <v>316</v>
      </c>
      <c r="D261" s="19" t="s">
        <v>597</v>
      </c>
      <c r="E261" s="22" t="n">
        <v>379</v>
      </c>
      <c r="F261" s="19"/>
      <c r="G261" s="22" t="n">
        <v>41</v>
      </c>
      <c r="H261" s="19" t="n">
        <v>3.8</v>
      </c>
      <c r="I261" s="23" t="s">
        <v>27</v>
      </c>
      <c r="J261" s="19" t="s">
        <v>318</v>
      </c>
    </row>
    <row r="262" customFormat="false" ht="15" hidden="false" customHeight="false" outlineLevel="0" collapsed="false">
      <c r="A262" s="19" t="s">
        <v>246</v>
      </c>
      <c r="B262" s="19" t="s">
        <v>138</v>
      </c>
      <c r="C262" s="19" t="s">
        <v>367</v>
      </c>
      <c r="D262" s="19" t="s">
        <v>598</v>
      </c>
      <c r="E262" s="22" t="n">
        <v>1010</v>
      </c>
      <c r="F262" s="19" t="n">
        <v>5.99</v>
      </c>
      <c r="G262" s="22" t="n">
        <v>41</v>
      </c>
      <c r="H262" s="19" t="n">
        <v>4.7</v>
      </c>
      <c r="I262" s="23" t="s">
        <v>27</v>
      </c>
      <c r="J262" s="19" t="s">
        <v>326</v>
      </c>
    </row>
    <row r="263" customFormat="false" ht="15" hidden="false" customHeight="false" outlineLevel="0" collapsed="false">
      <c r="A263" s="19" t="s">
        <v>246</v>
      </c>
      <c r="B263" s="19" t="s">
        <v>138</v>
      </c>
      <c r="C263" s="19" t="s">
        <v>367</v>
      </c>
      <c r="D263" s="19" t="s">
        <v>599</v>
      </c>
      <c r="E263" s="22" t="n">
        <v>738</v>
      </c>
      <c r="F263" s="19"/>
      <c r="G263" s="22" t="n">
        <v>41</v>
      </c>
      <c r="H263" s="19" t="n">
        <v>4.6</v>
      </c>
      <c r="I263" s="23" t="s">
        <v>27</v>
      </c>
      <c r="J263" s="19" t="s">
        <v>351</v>
      </c>
    </row>
    <row r="264" customFormat="false" ht="15" hidden="false" customHeight="false" outlineLevel="0" collapsed="false">
      <c r="A264" s="19" t="s">
        <v>246</v>
      </c>
      <c r="B264" s="19" t="s">
        <v>315</v>
      </c>
      <c r="C264" s="19" t="s">
        <v>316</v>
      </c>
      <c r="D264" s="19" t="s">
        <v>600</v>
      </c>
      <c r="E264" s="22" t="n">
        <v>1248</v>
      </c>
      <c r="F264" s="19" t="n">
        <v>1.09</v>
      </c>
      <c r="G264" s="22" t="n">
        <v>41</v>
      </c>
      <c r="H264" s="19" t="n">
        <v>4.1</v>
      </c>
      <c r="I264" s="23" t="s">
        <v>27</v>
      </c>
      <c r="J264" s="19" t="s">
        <v>351</v>
      </c>
    </row>
    <row r="265" customFormat="false" ht="15" hidden="false" customHeight="false" outlineLevel="0" collapsed="false">
      <c r="A265" s="19" t="s">
        <v>249</v>
      </c>
      <c r="B265" s="19" t="s">
        <v>138</v>
      </c>
      <c r="C265" s="19" t="s">
        <v>319</v>
      </c>
      <c r="D265" s="19" t="s">
        <v>601</v>
      </c>
      <c r="E265" s="22" t="n">
        <v>1191</v>
      </c>
      <c r="F265" s="19"/>
      <c r="G265" s="22" t="n">
        <v>41</v>
      </c>
      <c r="H265" s="19"/>
      <c r="I265" s="23" t="s">
        <v>27</v>
      </c>
      <c r="J265" s="19" t="s">
        <v>330</v>
      </c>
    </row>
    <row r="266" customFormat="false" ht="15" hidden="false" customHeight="false" outlineLevel="0" collapsed="false">
      <c r="A266" s="19" t="s">
        <v>246</v>
      </c>
      <c r="B266" s="19" t="s">
        <v>315</v>
      </c>
      <c r="C266" s="19" t="s">
        <v>316</v>
      </c>
      <c r="D266" s="19" t="s">
        <v>602</v>
      </c>
      <c r="E266" s="22" t="n">
        <v>933</v>
      </c>
      <c r="F266" s="19"/>
      <c r="G266" s="22" t="n">
        <v>40</v>
      </c>
      <c r="H266" s="19" t="n">
        <v>4.7</v>
      </c>
      <c r="I266" s="23" t="s">
        <v>27</v>
      </c>
      <c r="J266" s="19" t="s">
        <v>422</v>
      </c>
    </row>
    <row r="267" customFormat="false" ht="15" hidden="false" customHeight="false" outlineLevel="0" collapsed="false">
      <c r="A267" s="19" t="s">
        <v>246</v>
      </c>
      <c r="B267" s="19" t="s">
        <v>138</v>
      </c>
      <c r="C267" s="19" t="s">
        <v>367</v>
      </c>
      <c r="D267" s="19" t="s">
        <v>603</v>
      </c>
      <c r="E267" s="22" t="n">
        <v>2506</v>
      </c>
      <c r="F267" s="19" t="n">
        <v>8.69</v>
      </c>
      <c r="G267" s="22" t="n">
        <v>39</v>
      </c>
      <c r="H267" s="19" t="n">
        <v>4.7</v>
      </c>
      <c r="I267" s="23" t="s">
        <v>27</v>
      </c>
      <c r="J267" s="19" t="s">
        <v>326</v>
      </c>
    </row>
    <row r="268" customFormat="false" ht="15" hidden="false" customHeight="false" outlineLevel="0" collapsed="false">
      <c r="A268" s="19" t="s">
        <v>246</v>
      </c>
      <c r="B268" s="19" t="s">
        <v>138</v>
      </c>
      <c r="C268" s="19" t="s">
        <v>367</v>
      </c>
      <c r="D268" s="19" t="s">
        <v>604</v>
      </c>
      <c r="E268" s="22" t="n">
        <v>1266</v>
      </c>
      <c r="F268" s="19" t="n">
        <v>1.09</v>
      </c>
      <c r="G268" s="22" t="n">
        <v>39</v>
      </c>
      <c r="H268" s="19" t="n">
        <v>4.8</v>
      </c>
      <c r="I268" s="23" t="s">
        <v>27</v>
      </c>
      <c r="J268" s="19" t="s">
        <v>326</v>
      </c>
    </row>
    <row r="269" customFormat="false" ht="15" hidden="false" customHeight="false" outlineLevel="0" collapsed="false">
      <c r="A269" s="19" t="s">
        <v>252</v>
      </c>
      <c r="B269" s="19" t="s">
        <v>138</v>
      </c>
      <c r="C269" s="19" t="s">
        <v>319</v>
      </c>
      <c r="D269" s="19" t="s">
        <v>605</v>
      </c>
      <c r="E269" s="22" t="n">
        <v>391</v>
      </c>
      <c r="F269" s="19"/>
      <c r="G269" s="22" t="n">
        <v>39</v>
      </c>
      <c r="H269" s="19"/>
      <c r="I269" s="23" t="s">
        <v>27</v>
      </c>
      <c r="J269" s="19" t="s">
        <v>345</v>
      </c>
    </row>
    <row r="270" customFormat="false" ht="15" hidden="false" customHeight="false" outlineLevel="0" collapsed="false">
      <c r="A270" s="19" t="s">
        <v>252</v>
      </c>
      <c r="B270" s="19" t="s">
        <v>272</v>
      </c>
      <c r="C270" s="19" t="s">
        <v>365</v>
      </c>
      <c r="D270" s="19" t="s">
        <v>606</v>
      </c>
      <c r="E270" s="22" t="n">
        <v>1580</v>
      </c>
      <c r="F270" s="19" t="n">
        <v>12.76</v>
      </c>
      <c r="G270" s="22" t="n">
        <v>37</v>
      </c>
      <c r="H270" s="19"/>
      <c r="I270" s="23" t="s">
        <v>27</v>
      </c>
      <c r="J270" s="19" t="s">
        <v>370</v>
      </c>
    </row>
    <row r="271" customFormat="false" ht="15" hidden="false" customHeight="false" outlineLevel="0" collapsed="false">
      <c r="A271" s="19" t="s">
        <v>249</v>
      </c>
      <c r="B271" s="19" t="s">
        <v>254</v>
      </c>
      <c r="C271" s="19" t="s">
        <v>365</v>
      </c>
      <c r="D271" s="19" t="s">
        <v>607</v>
      </c>
      <c r="E271" s="22" t="n">
        <v>316</v>
      </c>
      <c r="F271" s="19"/>
      <c r="G271" s="22" t="n">
        <v>37</v>
      </c>
      <c r="H271" s="19"/>
      <c r="I271" s="23" t="s">
        <v>27</v>
      </c>
      <c r="J271" s="19" t="s">
        <v>539</v>
      </c>
    </row>
    <row r="272" customFormat="false" ht="15" hidden="false" customHeight="false" outlineLevel="0" collapsed="false">
      <c r="A272" s="19" t="s">
        <v>246</v>
      </c>
      <c r="B272" s="19" t="s">
        <v>254</v>
      </c>
      <c r="C272" s="19" t="s">
        <v>365</v>
      </c>
      <c r="D272" s="19" t="s">
        <v>608</v>
      </c>
      <c r="E272" s="22" t="n">
        <v>1939</v>
      </c>
      <c r="F272" s="19" t="n">
        <v>1.09</v>
      </c>
      <c r="G272" s="22" t="n">
        <v>36</v>
      </c>
      <c r="H272" s="19"/>
      <c r="I272" s="23" t="s">
        <v>27</v>
      </c>
      <c r="J272" s="19" t="s">
        <v>372</v>
      </c>
    </row>
    <row r="273" customFormat="false" ht="15" hidden="false" customHeight="false" outlineLevel="0" collapsed="false">
      <c r="A273" s="19" t="s">
        <v>246</v>
      </c>
      <c r="B273" s="19" t="s">
        <v>138</v>
      </c>
      <c r="C273" s="19" t="s">
        <v>319</v>
      </c>
      <c r="D273" s="19" t="s">
        <v>609</v>
      </c>
      <c r="E273" s="22" t="n">
        <v>1014</v>
      </c>
      <c r="F273" s="19"/>
      <c r="G273" s="22" t="n">
        <v>36</v>
      </c>
      <c r="H273" s="19"/>
      <c r="I273" s="23" t="s">
        <v>27</v>
      </c>
      <c r="J273" s="19" t="s">
        <v>321</v>
      </c>
    </row>
    <row r="274" customFormat="false" ht="15" hidden="false" customHeight="false" outlineLevel="0" collapsed="false">
      <c r="A274" s="19" t="s">
        <v>249</v>
      </c>
      <c r="B274" s="19" t="s">
        <v>254</v>
      </c>
      <c r="C274" s="19" t="s">
        <v>365</v>
      </c>
      <c r="D274" s="19" t="s">
        <v>610</v>
      </c>
      <c r="E274" s="22" t="n">
        <v>1422</v>
      </c>
      <c r="F274" s="19" t="n">
        <v>1.09</v>
      </c>
      <c r="G274" s="22" t="n">
        <v>35</v>
      </c>
      <c r="H274" s="19" t="n">
        <v>3.7</v>
      </c>
      <c r="I274" s="23" t="s">
        <v>27</v>
      </c>
      <c r="J274" s="19" t="s">
        <v>351</v>
      </c>
    </row>
    <row r="275" customFormat="false" ht="15" hidden="false" customHeight="false" outlineLevel="0" collapsed="false">
      <c r="A275" s="19" t="s">
        <v>249</v>
      </c>
      <c r="B275" s="19" t="s">
        <v>138</v>
      </c>
      <c r="C275" s="19" t="s">
        <v>319</v>
      </c>
      <c r="D275" s="19" t="s">
        <v>611</v>
      </c>
      <c r="E275" s="22" t="n">
        <v>2816</v>
      </c>
      <c r="F275" s="19"/>
      <c r="G275" s="22" t="n">
        <v>35</v>
      </c>
      <c r="H275" s="19"/>
      <c r="I275" s="23" t="s">
        <v>27</v>
      </c>
      <c r="J275" s="19" t="s">
        <v>330</v>
      </c>
    </row>
    <row r="276" customFormat="false" ht="15" hidden="false" customHeight="false" outlineLevel="0" collapsed="false">
      <c r="A276" s="19" t="s">
        <v>252</v>
      </c>
      <c r="B276" s="19" t="s">
        <v>254</v>
      </c>
      <c r="C276" s="19" t="s">
        <v>365</v>
      </c>
      <c r="D276" s="19" t="s">
        <v>612</v>
      </c>
      <c r="E276" s="22" t="n">
        <v>665</v>
      </c>
      <c r="F276" s="19" t="n">
        <v>0.99</v>
      </c>
      <c r="G276" s="22" t="n">
        <v>34</v>
      </c>
      <c r="H276" s="19"/>
      <c r="I276" s="23" t="s">
        <v>27</v>
      </c>
      <c r="J276" s="19" t="s">
        <v>364</v>
      </c>
    </row>
    <row r="277" customFormat="false" ht="15" hidden="false" customHeight="false" outlineLevel="0" collapsed="false">
      <c r="A277" s="19" t="s">
        <v>249</v>
      </c>
      <c r="B277" s="19" t="s">
        <v>315</v>
      </c>
      <c r="C277" s="19" t="s">
        <v>316</v>
      </c>
      <c r="D277" s="19" t="s">
        <v>613</v>
      </c>
      <c r="E277" s="22" t="n">
        <v>1016</v>
      </c>
      <c r="F277" s="19"/>
      <c r="G277" s="22" t="n">
        <v>34</v>
      </c>
      <c r="H277" s="19" t="n">
        <v>4.6</v>
      </c>
      <c r="I277" s="23" t="s">
        <v>27</v>
      </c>
      <c r="J277" s="19" t="s">
        <v>428</v>
      </c>
    </row>
    <row r="278" customFormat="false" ht="15" hidden="false" customHeight="false" outlineLevel="0" collapsed="false">
      <c r="A278" s="19" t="s">
        <v>249</v>
      </c>
      <c r="B278" s="19" t="s">
        <v>138</v>
      </c>
      <c r="C278" s="19" t="s">
        <v>319</v>
      </c>
      <c r="D278" s="19" t="s">
        <v>614</v>
      </c>
      <c r="E278" s="22" t="n">
        <v>637</v>
      </c>
      <c r="F278" s="19"/>
      <c r="G278" s="22" t="n">
        <v>34</v>
      </c>
      <c r="H278" s="19" t="n">
        <v>4.3</v>
      </c>
      <c r="I278" s="23" t="s">
        <v>27</v>
      </c>
      <c r="J278" s="19" t="s">
        <v>330</v>
      </c>
    </row>
    <row r="279" customFormat="false" ht="15" hidden="false" customHeight="false" outlineLevel="0" collapsed="false">
      <c r="A279" s="19" t="s">
        <v>252</v>
      </c>
      <c r="B279" s="19" t="s">
        <v>263</v>
      </c>
      <c r="C279" s="19" t="s">
        <v>365</v>
      </c>
      <c r="D279" s="19" t="s">
        <v>615</v>
      </c>
      <c r="E279" s="22" t="n">
        <v>574</v>
      </c>
      <c r="F279" s="19" t="n">
        <v>1.09</v>
      </c>
      <c r="G279" s="22" t="n">
        <v>33</v>
      </c>
      <c r="H279" s="19"/>
      <c r="I279" s="23" t="s">
        <v>27</v>
      </c>
      <c r="J279" s="19" t="s">
        <v>414</v>
      </c>
    </row>
    <row r="280" customFormat="false" ht="15" hidden="false" customHeight="false" outlineLevel="0" collapsed="false">
      <c r="A280" s="19" t="s">
        <v>252</v>
      </c>
      <c r="B280" s="19" t="s">
        <v>267</v>
      </c>
      <c r="C280" s="19" t="s">
        <v>365</v>
      </c>
      <c r="D280" s="19" t="s">
        <v>616</v>
      </c>
      <c r="E280" s="22" t="n">
        <v>818</v>
      </c>
      <c r="F280" s="19"/>
      <c r="G280" s="22" t="n">
        <v>33</v>
      </c>
      <c r="H280" s="19" t="n">
        <v>4.2</v>
      </c>
      <c r="I280" s="23" t="s">
        <v>27</v>
      </c>
      <c r="J280" s="19" t="s">
        <v>479</v>
      </c>
    </row>
    <row r="281" customFormat="false" ht="15" hidden="false" customHeight="false" outlineLevel="0" collapsed="false">
      <c r="A281" s="19" t="s">
        <v>252</v>
      </c>
      <c r="B281" s="19" t="s">
        <v>138</v>
      </c>
      <c r="C281" s="19" t="s">
        <v>319</v>
      </c>
      <c r="D281" s="19" t="s">
        <v>617</v>
      </c>
      <c r="E281" s="22" t="n">
        <v>334</v>
      </c>
      <c r="F281" s="19"/>
      <c r="G281" s="22" t="n">
        <v>33</v>
      </c>
      <c r="H281" s="19" t="n">
        <v>2.2</v>
      </c>
      <c r="I281" s="23" t="s">
        <v>27</v>
      </c>
      <c r="J281" s="19" t="s">
        <v>345</v>
      </c>
    </row>
    <row r="282" customFormat="false" ht="15" hidden="false" customHeight="false" outlineLevel="0" collapsed="false">
      <c r="A282" s="19" t="s">
        <v>252</v>
      </c>
      <c r="B282" s="19" t="s">
        <v>138</v>
      </c>
      <c r="C282" s="19" t="s">
        <v>319</v>
      </c>
      <c r="D282" s="19" t="s">
        <v>618</v>
      </c>
      <c r="E282" s="22" t="n">
        <v>371</v>
      </c>
      <c r="F282" s="19"/>
      <c r="G282" s="22" t="n">
        <v>32</v>
      </c>
      <c r="H282" s="19"/>
      <c r="I282" s="23" t="s">
        <v>27</v>
      </c>
      <c r="J282" s="19" t="s">
        <v>390</v>
      </c>
    </row>
    <row r="283" customFormat="false" ht="15" hidden="false" customHeight="false" outlineLevel="0" collapsed="false">
      <c r="A283" s="19" t="s">
        <v>246</v>
      </c>
      <c r="B283" s="19" t="s">
        <v>138</v>
      </c>
      <c r="C283" s="19" t="s">
        <v>319</v>
      </c>
      <c r="D283" s="19" t="s">
        <v>619</v>
      </c>
      <c r="E283" s="22" t="n">
        <v>948</v>
      </c>
      <c r="F283" s="19"/>
      <c r="G283" s="22" t="n">
        <v>32</v>
      </c>
      <c r="H283" s="19"/>
      <c r="I283" s="23" t="s">
        <v>27</v>
      </c>
      <c r="J283" s="19" t="s">
        <v>372</v>
      </c>
    </row>
    <row r="284" customFormat="false" ht="15" hidden="false" customHeight="false" outlineLevel="0" collapsed="false">
      <c r="A284" s="19" t="s">
        <v>252</v>
      </c>
      <c r="B284" s="19" t="s">
        <v>138</v>
      </c>
      <c r="C284" s="19" t="s">
        <v>319</v>
      </c>
      <c r="D284" s="19" t="s">
        <v>620</v>
      </c>
      <c r="E284" s="22" t="n">
        <v>582</v>
      </c>
      <c r="F284" s="19" t="n">
        <v>1.91</v>
      </c>
      <c r="G284" s="22" t="n">
        <v>31</v>
      </c>
      <c r="H284" s="19"/>
      <c r="I284" s="23" t="s">
        <v>27</v>
      </c>
      <c r="J284" s="19" t="s">
        <v>339</v>
      </c>
    </row>
    <row r="285" customFormat="false" ht="15" hidden="false" customHeight="false" outlineLevel="0" collapsed="false">
      <c r="A285" s="19" t="s">
        <v>246</v>
      </c>
      <c r="B285" s="19" t="s">
        <v>138</v>
      </c>
      <c r="C285" s="19" t="s">
        <v>367</v>
      </c>
      <c r="D285" s="19" t="s">
        <v>621</v>
      </c>
      <c r="E285" s="22" t="n">
        <v>2074</v>
      </c>
      <c r="F285" s="19" t="n">
        <v>5.82</v>
      </c>
      <c r="G285" s="22" t="n">
        <v>31</v>
      </c>
      <c r="H285" s="19"/>
      <c r="I285" s="23" t="s">
        <v>27</v>
      </c>
      <c r="J285" s="19" t="s">
        <v>326</v>
      </c>
    </row>
    <row r="286" customFormat="false" ht="15" hidden="false" customHeight="false" outlineLevel="0" collapsed="false">
      <c r="A286" s="19" t="s">
        <v>252</v>
      </c>
      <c r="B286" s="19" t="s">
        <v>138</v>
      </c>
      <c r="C286" s="19" t="s">
        <v>319</v>
      </c>
      <c r="D286" s="19" t="s">
        <v>622</v>
      </c>
      <c r="E286" s="22" t="n">
        <v>1116</v>
      </c>
      <c r="F286" s="19"/>
      <c r="G286" s="22" t="n">
        <v>31</v>
      </c>
      <c r="H286" s="19"/>
      <c r="I286" s="23" t="s">
        <v>27</v>
      </c>
      <c r="J286" s="19" t="s">
        <v>345</v>
      </c>
    </row>
    <row r="287" customFormat="false" ht="15" hidden="false" customHeight="false" outlineLevel="0" collapsed="false">
      <c r="A287" s="19" t="s">
        <v>252</v>
      </c>
      <c r="B287" s="19" t="s">
        <v>315</v>
      </c>
      <c r="C287" s="19" t="s">
        <v>316</v>
      </c>
      <c r="D287" s="19" t="s">
        <v>623</v>
      </c>
      <c r="E287" s="22" t="n">
        <v>754</v>
      </c>
      <c r="F287" s="19" t="n">
        <v>1.09</v>
      </c>
      <c r="G287" s="22" t="n">
        <v>30</v>
      </c>
      <c r="H287" s="19" t="n">
        <v>4.7</v>
      </c>
      <c r="I287" s="23" t="s">
        <v>27</v>
      </c>
      <c r="J287" s="19" t="s">
        <v>318</v>
      </c>
    </row>
    <row r="288" customFormat="false" ht="15" hidden="false" customHeight="false" outlineLevel="0" collapsed="false">
      <c r="A288" s="19" t="s">
        <v>246</v>
      </c>
      <c r="B288" s="19" t="s">
        <v>315</v>
      </c>
      <c r="C288" s="19" t="s">
        <v>316</v>
      </c>
      <c r="D288" s="19" t="s">
        <v>624</v>
      </c>
      <c r="E288" s="22" t="n">
        <v>509</v>
      </c>
      <c r="F288" s="19"/>
      <c r="G288" s="22" t="n">
        <v>30</v>
      </c>
      <c r="H288" s="19"/>
      <c r="I288" s="23" t="s">
        <v>27</v>
      </c>
      <c r="J288" s="19" t="s">
        <v>372</v>
      </c>
    </row>
    <row r="289" customFormat="false" ht="15" hidden="false" customHeight="false" outlineLevel="0" collapsed="false">
      <c r="A289" s="19" t="s">
        <v>252</v>
      </c>
      <c r="B289" s="19" t="s">
        <v>138</v>
      </c>
      <c r="C289" s="19" t="s">
        <v>319</v>
      </c>
      <c r="D289" s="19" t="s">
        <v>625</v>
      </c>
      <c r="E289" s="22" t="n">
        <v>467</v>
      </c>
      <c r="F289" s="19"/>
      <c r="G289" s="22" t="n">
        <v>30</v>
      </c>
      <c r="H289" s="19"/>
      <c r="I289" s="23" t="s">
        <v>27</v>
      </c>
      <c r="J289" s="19" t="s">
        <v>345</v>
      </c>
    </row>
    <row r="290" customFormat="false" ht="15" hidden="false" customHeight="false" outlineLevel="0" collapsed="false">
      <c r="A290" s="19" t="s">
        <v>252</v>
      </c>
      <c r="B290" s="19" t="s">
        <v>138</v>
      </c>
      <c r="C290" s="19" t="s">
        <v>319</v>
      </c>
      <c r="D290" s="19" t="s">
        <v>626</v>
      </c>
      <c r="E290" s="22" t="n">
        <v>749</v>
      </c>
      <c r="F290" s="19" t="n">
        <v>1.76</v>
      </c>
      <c r="G290" s="22" t="n">
        <v>30</v>
      </c>
      <c r="H290" s="19"/>
      <c r="I290" s="23" t="s">
        <v>27</v>
      </c>
      <c r="J290" s="19" t="s">
        <v>345</v>
      </c>
    </row>
    <row r="291" customFormat="false" ht="15" hidden="false" customHeight="false" outlineLevel="0" collapsed="false">
      <c r="A291" s="19" t="s">
        <v>249</v>
      </c>
      <c r="B291" s="19" t="s">
        <v>138</v>
      </c>
      <c r="C291" s="19" t="s">
        <v>319</v>
      </c>
      <c r="D291" s="19" t="s">
        <v>627</v>
      </c>
      <c r="E291" s="22" t="n">
        <v>1039</v>
      </c>
      <c r="F291" s="19"/>
      <c r="G291" s="22" t="n">
        <v>30</v>
      </c>
      <c r="H291" s="19"/>
      <c r="I291" s="23" t="s">
        <v>27</v>
      </c>
      <c r="J291" s="19" t="s">
        <v>330</v>
      </c>
    </row>
    <row r="292" customFormat="false" ht="15" hidden="false" customHeight="false" outlineLevel="0" collapsed="false">
      <c r="A292" s="19" t="s">
        <v>246</v>
      </c>
      <c r="B292" s="19" t="s">
        <v>138</v>
      </c>
      <c r="C292" s="19" t="s">
        <v>319</v>
      </c>
      <c r="D292" s="19" t="s">
        <v>628</v>
      </c>
      <c r="E292" s="22" t="n">
        <v>1780</v>
      </c>
      <c r="F292" s="19" t="n">
        <v>4.93</v>
      </c>
      <c r="G292" s="22" t="n">
        <v>29</v>
      </c>
      <c r="H292" s="19"/>
      <c r="I292" s="23" t="s">
        <v>27</v>
      </c>
      <c r="J292" s="19" t="s">
        <v>326</v>
      </c>
    </row>
    <row r="293" customFormat="false" ht="15" hidden="false" customHeight="false" outlineLevel="0" collapsed="false">
      <c r="A293" s="19" t="s">
        <v>246</v>
      </c>
      <c r="B293" s="19" t="s">
        <v>254</v>
      </c>
      <c r="C293" s="19" t="s">
        <v>365</v>
      </c>
      <c r="D293" s="19" t="s">
        <v>629</v>
      </c>
      <c r="E293" s="22" t="n">
        <v>706</v>
      </c>
      <c r="F293" s="19"/>
      <c r="G293" s="22" t="n">
        <v>29</v>
      </c>
      <c r="H293" s="19"/>
      <c r="I293" s="23" t="s">
        <v>27</v>
      </c>
      <c r="J293" s="19" t="s">
        <v>351</v>
      </c>
    </row>
    <row r="294" customFormat="false" ht="15" hidden="false" customHeight="false" outlineLevel="0" collapsed="false">
      <c r="A294" s="19" t="s">
        <v>249</v>
      </c>
      <c r="B294" s="19" t="s">
        <v>315</v>
      </c>
      <c r="C294" s="19" t="s">
        <v>316</v>
      </c>
      <c r="D294" s="19" t="s">
        <v>630</v>
      </c>
      <c r="E294" s="22" t="n">
        <v>1016</v>
      </c>
      <c r="F294" s="19"/>
      <c r="G294" s="22" t="n">
        <v>29</v>
      </c>
      <c r="H294" s="19" t="n">
        <v>4.1</v>
      </c>
      <c r="I294" s="23" t="s">
        <v>27</v>
      </c>
      <c r="J294" s="19" t="s">
        <v>428</v>
      </c>
    </row>
    <row r="295" customFormat="false" ht="15" hidden="false" customHeight="false" outlineLevel="0" collapsed="false">
      <c r="A295" s="19" t="s">
        <v>249</v>
      </c>
      <c r="B295" s="19" t="s">
        <v>138</v>
      </c>
      <c r="C295" s="19" t="s">
        <v>446</v>
      </c>
      <c r="D295" s="19" t="s">
        <v>631</v>
      </c>
      <c r="E295" s="22" t="n">
        <v>960</v>
      </c>
      <c r="F295" s="19"/>
      <c r="G295" s="22" t="n">
        <v>29</v>
      </c>
      <c r="H295" s="19" t="n">
        <v>4.5</v>
      </c>
      <c r="I295" s="23" t="s">
        <v>27</v>
      </c>
      <c r="J295" s="19" t="s">
        <v>428</v>
      </c>
    </row>
    <row r="296" customFormat="false" ht="15" hidden="false" customHeight="false" outlineLevel="0" collapsed="false">
      <c r="A296" s="19" t="s">
        <v>252</v>
      </c>
      <c r="B296" s="19" t="s">
        <v>138</v>
      </c>
      <c r="C296" s="19" t="s">
        <v>319</v>
      </c>
      <c r="D296" s="19" t="s">
        <v>632</v>
      </c>
      <c r="E296" s="22" t="n">
        <v>1026</v>
      </c>
      <c r="F296" s="19"/>
      <c r="G296" s="22" t="n">
        <v>29</v>
      </c>
      <c r="H296" s="19"/>
      <c r="I296" s="23" t="s">
        <v>27</v>
      </c>
      <c r="J296" s="19" t="s">
        <v>345</v>
      </c>
    </row>
    <row r="297" customFormat="false" ht="15" hidden="false" customHeight="false" outlineLevel="0" collapsed="false">
      <c r="A297" s="19" t="s">
        <v>252</v>
      </c>
      <c r="B297" s="19" t="s">
        <v>138</v>
      </c>
      <c r="C297" s="19" t="s">
        <v>319</v>
      </c>
      <c r="D297" s="19" t="s">
        <v>633</v>
      </c>
      <c r="E297" s="22" t="n">
        <v>600</v>
      </c>
      <c r="F297" s="19"/>
      <c r="G297" s="22" t="n">
        <v>28</v>
      </c>
      <c r="H297" s="19"/>
      <c r="I297" s="23" t="s">
        <v>27</v>
      </c>
      <c r="J297" s="19" t="s">
        <v>390</v>
      </c>
    </row>
    <row r="298" customFormat="false" ht="15" hidden="false" customHeight="false" outlineLevel="0" collapsed="false">
      <c r="A298" s="19" t="s">
        <v>246</v>
      </c>
      <c r="B298" s="19" t="s">
        <v>138</v>
      </c>
      <c r="C298" s="19" t="s">
        <v>367</v>
      </c>
      <c r="D298" s="19" t="s">
        <v>634</v>
      </c>
      <c r="E298" s="22" t="n">
        <v>1250</v>
      </c>
      <c r="F298" s="19" t="n">
        <v>1.42</v>
      </c>
      <c r="G298" s="22" t="n">
        <v>28</v>
      </c>
      <c r="H298" s="19"/>
      <c r="I298" s="23" t="s">
        <v>27</v>
      </c>
      <c r="J298" s="19" t="s">
        <v>326</v>
      </c>
    </row>
    <row r="299" customFormat="false" ht="15" hidden="false" customHeight="false" outlineLevel="0" collapsed="false">
      <c r="A299" s="19" t="s">
        <v>252</v>
      </c>
      <c r="B299" s="19" t="s">
        <v>138</v>
      </c>
      <c r="C299" s="19" t="s">
        <v>319</v>
      </c>
      <c r="D299" s="19" t="s">
        <v>635</v>
      </c>
      <c r="E299" s="22" t="n">
        <v>700</v>
      </c>
      <c r="F299" s="19"/>
      <c r="G299" s="22" t="n">
        <v>28</v>
      </c>
      <c r="H299" s="19" t="n">
        <v>4.7</v>
      </c>
      <c r="I299" s="23" t="s">
        <v>27</v>
      </c>
      <c r="J299" s="19" t="s">
        <v>345</v>
      </c>
    </row>
    <row r="300" customFormat="false" ht="15" hidden="false" customHeight="false" outlineLevel="0" collapsed="false">
      <c r="A300" s="19" t="s">
        <v>246</v>
      </c>
      <c r="B300" s="19" t="s">
        <v>138</v>
      </c>
      <c r="C300" s="19" t="s">
        <v>319</v>
      </c>
      <c r="D300" s="19" t="s">
        <v>636</v>
      </c>
      <c r="E300" s="22" t="n">
        <v>1211</v>
      </c>
      <c r="F300" s="19" t="n">
        <v>1.76</v>
      </c>
      <c r="G300" s="22" t="n">
        <v>28</v>
      </c>
      <c r="H300" s="19" t="n">
        <v>4.7</v>
      </c>
      <c r="I300" s="23" t="s">
        <v>27</v>
      </c>
      <c r="J300" s="19" t="s">
        <v>321</v>
      </c>
    </row>
    <row r="301" customFormat="false" ht="15" hidden="false" customHeight="false" outlineLevel="0" collapsed="false">
      <c r="A301" s="19" t="s">
        <v>246</v>
      </c>
      <c r="B301" s="19" t="s">
        <v>244</v>
      </c>
      <c r="C301" s="19" t="s">
        <v>365</v>
      </c>
      <c r="D301" s="19" t="s">
        <v>637</v>
      </c>
      <c r="E301" s="22" t="n">
        <v>1000</v>
      </c>
      <c r="F301" s="19" t="n">
        <v>5.88</v>
      </c>
      <c r="G301" s="22" t="n">
        <v>27</v>
      </c>
      <c r="H301" s="19" t="n">
        <v>4.5</v>
      </c>
      <c r="I301" s="23" t="s">
        <v>27</v>
      </c>
      <c r="J301" s="19" t="s">
        <v>422</v>
      </c>
    </row>
    <row r="302" customFormat="false" ht="15" hidden="false" customHeight="false" outlineLevel="0" collapsed="false">
      <c r="A302" s="19" t="s">
        <v>246</v>
      </c>
      <c r="B302" s="19" t="s">
        <v>315</v>
      </c>
      <c r="C302" s="19" t="s">
        <v>316</v>
      </c>
      <c r="D302" s="19" t="s">
        <v>638</v>
      </c>
      <c r="E302" s="22" t="n">
        <v>1090</v>
      </c>
      <c r="F302" s="19"/>
      <c r="G302" s="22" t="n">
        <v>27</v>
      </c>
      <c r="H302" s="19"/>
      <c r="I302" s="23" t="s">
        <v>27</v>
      </c>
      <c r="J302" s="19" t="s">
        <v>388</v>
      </c>
    </row>
    <row r="303" customFormat="false" ht="15" hidden="false" customHeight="false" outlineLevel="0" collapsed="false">
      <c r="A303" s="19" t="s">
        <v>252</v>
      </c>
      <c r="B303" s="19" t="s">
        <v>138</v>
      </c>
      <c r="C303" s="19" t="s">
        <v>319</v>
      </c>
      <c r="D303" s="19" t="s">
        <v>639</v>
      </c>
      <c r="E303" s="22" t="n">
        <v>646</v>
      </c>
      <c r="F303" s="19"/>
      <c r="G303" s="22" t="n">
        <v>26</v>
      </c>
      <c r="H303" s="19"/>
      <c r="I303" s="23" t="s">
        <v>27</v>
      </c>
      <c r="J303" s="19" t="s">
        <v>390</v>
      </c>
    </row>
    <row r="304" customFormat="false" ht="15" hidden="false" customHeight="false" outlineLevel="0" collapsed="false">
      <c r="A304" s="19" t="s">
        <v>252</v>
      </c>
      <c r="B304" s="19" t="s">
        <v>138</v>
      </c>
      <c r="C304" s="19" t="s">
        <v>367</v>
      </c>
      <c r="D304" s="19" t="s">
        <v>640</v>
      </c>
      <c r="E304" s="22" t="n">
        <v>92</v>
      </c>
      <c r="F304" s="19"/>
      <c r="G304" s="22" t="n">
        <v>26</v>
      </c>
      <c r="H304" s="19"/>
      <c r="I304" s="23" t="s">
        <v>27</v>
      </c>
      <c r="J304" s="19" t="s">
        <v>390</v>
      </c>
    </row>
    <row r="305" customFormat="false" ht="15" hidden="false" customHeight="false" outlineLevel="0" collapsed="false">
      <c r="A305" s="19" t="s">
        <v>249</v>
      </c>
      <c r="B305" s="19" t="s">
        <v>244</v>
      </c>
      <c r="C305" s="19" t="s">
        <v>365</v>
      </c>
      <c r="D305" s="19" t="s">
        <v>641</v>
      </c>
      <c r="E305" s="22" t="n">
        <v>1926</v>
      </c>
      <c r="F305" s="19"/>
      <c r="G305" s="22" t="n">
        <v>26</v>
      </c>
      <c r="H305" s="19"/>
      <c r="I305" s="23" t="s">
        <v>27</v>
      </c>
      <c r="J305" s="19" t="s">
        <v>428</v>
      </c>
    </row>
    <row r="306" customFormat="false" ht="15" hidden="false" customHeight="false" outlineLevel="0" collapsed="false">
      <c r="A306" s="19" t="s">
        <v>249</v>
      </c>
      <c r="B306" s="19" t="s">
        <v>138</v>
      </c>
      <c r="C306" s="19" t="s">
        <v>367</v>
      </c>
      <c r="D306" s="19" t="s">
        <v>642</v>
      </c>
      <c r="E306" s="22" t="n">
        <v>1064</v>
      </c>
      <c r="F306" s="19"/>
      <c r="G306" s="22" t="n">
        <v>26</v>
      </c>
      <c r="H306" s="19"/>
      <c r="I306" s="23" t="s">
        <v>27</v>
      </c>
      <c r="J306" s="19" t="s">
        <v>428</v>
      </c>
    </row>
    <row r="307" customFormat="false" ht="15" hidden="false" customHeight="false" outlineLevel="0" collapsed="false">
      <c r="A307" s="19" t="s">
        <v>252</v>
      </c>
      <c r="B307" s="19" t="s">
        <v>138</v>
      </c>
      <c r="C307" s="19" t="s">
        <v>319</v>
      </c>
      <c r="D307" s="19" t="s">
        <v>643</v>
      </c>
      <c r="E307" s="22" t="n">
        <v>498</v>
      </c>
      <c r="F307" s="19"/>
      <c r="G307" s="22" t="n">
        <v>26</v>
      </c>
      <c r="H307" s="19" t="n">
        <v>3.8</v>
      </c>
      <c r="I307" s="23" t="s">
        <v>27</v>
      </c>
      <c r="J307" s="19" t="s">
        <v>345</v>
      </c>
    </row>
    <row r="308" customFormat="false" ht="15" hidden="false" customHeight="false" outlineLevel="0" collapsed="false">
      <c r="A308" s="19" t="s">
        <v>332</v>
      </c>
      <c r="B308" s="19" t="s">
        <v>138</v>
      </c>
      <c r="C308" s="19" t="s">
        <v>319</v>
      </c>
      <c r="D308" s="19" t="s">
        <v>644</v>
      </c>
      <c r="E308" s="22" t="n">
        <v>2336</v>
      </c>
      <c r="F308" s="19" t="n">
        <v>11.09</v>
      </c>
      <c r="G308" s="22" t="n">
        <v>26</v>
      </c>
      <c r="H308" s="19"/>
      <c r="I308" s="23" t="s">
        <v>27</v>
      </c>
      <c r="J308" s="19" t="s">
        <v>321</v>
      </c>
    </row>
    <row r="309" customFormat="false" ht="15" hidden="false" customHeight="false" outlineLevel="0" collapsed="false">
      <c r="A309" s="19" t="s">
        <v>252</v>
      </c>
      <c r="B309" s="19" t="s">
        <v>277</v>
      </c>
      <c r="C309" s="19" t="s">
        <v>365</v>
      </c>
      <c r="D309" s="19" t="s">
        <v>645</v>
      </c>
      <c r="E309" s="22" t="n">
        <v>1031</v>
      </c>
      <c r="F309" s="19"/>
      <c r="G309" s="22" t="n">
        <v>25</v>
      </c>
      <c r="H309" s="19"/>
      <c r="I309" s="23" t="s">
        <v>27</v>
      </c>
      <c r="J309" s="19" t="s">
        <v>318</v>
      </c>
    </row>
    <row r="310" customFormat="false" ht="15" hidden="false" customHeight="false" outlineLevel="0" collapsed="false">
      <c r="A310" s="19" t="s">
        <v>246</v>
      </c>
      <c r="B310" s="19" t="s">
        <v>315</v>
      </c>
      <c r="C310" s="19" t="s">
        <v>316</v>
      </c>
      <c r="D310" s="19" t="s">
        <v>646</v>
      </c>
      <c r="E310" s="22" t="n">
        <v>1932</v>
      </c>
      <c r="F310" s="19" t="n">
        <v>1.09</v>
      </c>
      <c r="G310" s="22" t="n">
        <v>25</v>
      </c>
      <c r="H310" s="19"/>
      <c r="I310" s="23" t="s">
        <v>27</v>
      </c>
      <c r="J310" s="19" t="s">
        <v>372</v>
      </c>
    </row>
    <row r="311" customFormat="false" ht="15" hidden="false" customHeight="false" outlineLevel="0" collapsed="false">
      <c r="A311" s="19" t="s">
        <v>246</v>
      </c>
      <c r="B311" s="19" t="s">
        <v>138</v>
      </c>
      <c r="C311" s="19" t="s">
        <v>319</v>
      </c>
      <c r="D311" s="19" t="s">
        <v>647</v>
      </c>
      <c r="E311" s="22" t="n">
        <v>340</v>
      </c>
      <c r="F311" s="19"/>
      <c r="G311" s="22" t="n">
        <v>25</v>
      </c>
      <c r="H311" s="19" t="n">
        <v>3.8</v>
      </c>
      <c r="I311" s="23" t="s">
        <v>27</v>
      </c>
      <c r="J311" s="19" t="s">
        <v>326</v>
      </c>
    </row>
    <row r="312" customFormat="false" ht="15" hidden="false" customHeight="false" outlineLevel="0" collapsed="false">
      <c r="A312" s="19" t="s">
        <v>246</v>
      </c>
      <c r="B312" s="19" t="s">
        <v>254</v>
      </c>
      <c r="C312" s="19" t="s">
        <v>365</v>
      </c>
      <c r="D312" s="19" t="s">
        <v>648</v>
      </c>
      <c r="E312" s="22" t="n">
        <v>1607</v>
      </c>
      <c r="F312" s="19" t="n">
        <v>1.65</v>
      </c>
      <c r="G312" s="22" t="n">
        <v>25</v>
      </c>
      <c r="H312" s="19"/>
      <c r="I312" s="23" t="s">
        <v>27</v>
      </c>
      <c r="J312" s="19" t="s">
        <v>351</v>
      </c>
    </row>
    <row r="313" customFormat="false" ht="15" hidden="false" customHeight="false" outlineLevel="0" collapsed="false">
      <c r="A313" s="19" t="s">
        <v>249</v>
      </c>
      <c r="B313" s="19" t="s">
        <v>315</v>
      </c>
      <c r="C313" s="19" t="s">
        <v>316</v>
      </c>
      <c r="D313" s="19" t="s">
        <v>649</v>
      </c>
      <c r="E313" s="22" t="n">
        <v>3795</v>
      </c>
      <c r="F313" s="19" t="n">
        <v>11.77</v>
      </c>
      <c r="G313" s="22" t="n">
        <v>24</v>
      </c>
      <c r="H313" s="19" t="n">
        <v>3.5</v>
      </c>
      <c r="I313" s="23" t="s">
        <v>27</v>
      </c>
      <c r="J313" s="19" t="s">
        <v>364</v>
      </c>
    </row>
    <row r="314" customFormat="false" ht="15" hidden="false" customHeight="false" outlineLevel="0" collapsed="false">
      <c r="A314" s="19" t="s">
        <v>246</v>
      </c>
      <c r="B314" s="19" t="s">
        <v>315</v>
      </c>
      <c r="C314" s="19" t="s">
        <v>316</v>
      </c>
      <c r="D314" s="19" t="s">
        <v>650</v>
      </c>
      <c r="E314" s="22" t="n">
        <v>1042</v>
      </c>
      <c r="F314" s="19" t="n">
        <v>1.09</v>
      </c>
      <c r="G314" s="22" t="n">
        <v>24</v>
      </c>
      <c r="H314" s="19" t="n">
        <v>4.8</v>
      </c>
      <c r="I314" s="23" t="s">
        <v>27</v>
      </c>
      <c r="J314" s="19" t="s">
        <v>372</v>
      </c>
    </row>
    <row r="315" customFormat="false" ht="15" hidden="false" customHeight="false" outlineLevel="0" collapsed="false">
      <c r="A315" s="19" t="s">
        <v>252</v>
      </c>
      <c r="B315" s="19" t="s">
        <v>244</v>
      </c>
      <c r="C315" s="19" t="s">
        <v>365</v>
      </c>
      <c r="D315" s="19" t="s">
        <v>651</v>
      </c>
      <c r="E315" s="22" t="n">
        <v>841</v>
      </c>
      <c r="F315" s="19" t="n">
        <v>1.09</v>
      </c>
      <c r="G315" s="22" t="n">
        <v>23</v>
      </c>
      <c r="H315" s="19"/>
      <c r="I315" s="23" t="s">
        <v>27</v>
      </c>
      <c r="J315" s="19" t="s">
        <v>414</v>
      </c>
    </row>
    <row r="316" customFormat="false" ht="15" hidden="false" customHeight="false" outlineLevel="0" collapsed="false">
      <c r="A316" s="19" t="s">
        <v>252</v>
      </c>
      <c r="B316" s="19" t="s">
        <v>244</v>
      </c>
      <c r="C316" s="19" t="s">
        <v>365</v>
      </c>
      <c r="D316" s="19" t="s">
        <v>652</v>
      </c>
      <c r="E316" s="22" t="n">
        <v>762</v>
      </c>
      <c r="F316" s="19" t="n">
        <v>1.09</v>
      </c>
      <c r="G316" s="22" t="n">
        <v>23</v>
      </c>
      <c r="H316" s="19"/>
      <c r="I316" s="23" t="s">
        <v>27</v>
      </c>
      <c r="J316" s="19" t="s">
        <v>414</v>
      </c>
    </row>
    <row r="317" customFormat="false" ht="15" hidden="false" customHeight="false" outlineLevel="0" collapsed="false">
      <c r="A317" s="19" t="s">
        <v>246</v>
      </c>
      <c r="B317" s="19" t="s">
        <v>138</v>
      </c>
      <c r="C317" s="19" t="s">
        <v>367</v>
      </c>
      <c r="D317" s="19" t="s">
        <v>653</v>
      </c>
      <c r="E317" s="22" t="n">
        <v>1531</v>
      </c>
      <c r="F317" s="19" t="n">
        <v>3.18</v>
      </c>
      <c r="G317" s="22" t="n">
        <v>23</v>
      </c>
      <c r="H317" s="19"/>
      <c r="I317" s="23" t="s">
        <v>27</v>
      </c>
      <c r="J317" s="19" t="s">
        <v>326</v>
      </c>
    </row>
    <row r="318" customFormat="false" ht="15" hidden="false" customHeight="false" outlineLevel="0" collapsed="false">
      <c r="A318" s="19" t="s">
        <v>252</v>
      </c>
      <c r="B318" s="19" t="s">
        <v>138</v>
      </c>
      <c r="C318" s="19" t="s">
        <v>319</v>
      </c>
      <c r="D318" s="19" t="s">
        <v>654</v>
      </c>
      <c r="E318" s="22" t="n">
        <v>545</v>
      </c>
      <c r="F318" s="19"/>
      <c r="G318" s="22" t="n">
        <v>23</v>
      </c>
      <c r="H318" s="19"/>
      <c r="I318" s="23" t="s">
        <v>27</v>
      </c>
      <c r="J318" s="19" t="s">
        <v>345</v>
      </c>
    </row>
    <row r="319" customFormat="false" ht="15" hidden="false" customHeight="false" outlineLevel="0" collapsed="false">
      <c r="A319" s="19" t="s">
        <v>246</v>
      </c>
      <c r="B319" s="19" t="s">
        <v>254</v>
      </c>
      <c r="C319" s="19" t="s">
        <v>365</v>
      </c>
      <c r="D319" s="19" t="s">
        <v>655</v>
      </c>
      <c r="E319" s="22" t="n">
        <v>1598</v>
      </c>
      <c r="F319" s="19" t="n">
        <v>0.99</v>
      </c>
      <c r="G319" s="22" t="n">
        <v>22</v>
      </c>
      <c r="H319" s="19"/>
      <c r="I319" s="23" t="s">
        <v>27</v>
      </c>
      <c r="J319" s="19" t="s">
        <v>364</v>
      </c>
    </row>
    <row r="320" customFormat="false" ht="15" hidden="false" customHeight="false" outlineLevel="0" collapsed="false">
      <c r="A320" s="19" t="s">
        <v>246</v>
      </c>
      <c r="B320" s="19" t="s">
        <v>138</v>
      </c>
      <c r="C320" s="19" t="s">
        <v>367</v>
      </c>
      <c r="D320" s="19" t="s">
        <v>656</v>
      </c>
      <c r="E320" s="22" t="n">
        <v>556</v>
      </c>
      <c r="F320" s="19" t="n">
        <v>1.09</v>
      </c>
      <c r="G320" s="22" t="n">
        <v>22</v>
      </c>
      <c r="H320" s="19" t="n">
        <v>3.7</v>
      </c>
      <c r="I320" s="23" t="s">
        <v>27</v>
      </c>
      <c r="J320" s="19" t="s">
        <v>326</v>
      </c>
    </row>
    <row r="321" customFormat="false" ht="15" hidden="false" customHeight="false" outlineLevel="0" collapsed="false">
      <c r="A321" s="19" t="s">
        <v>246</v>
      </c>
      <c r="B321" s="19" t="s">
        <v>138</v>
      </c>
      <c r="C321" s="19" t="s">
        <v>367</v>
      </c>
      <c r="D321" s="19" t="s">
        <v>657</v>
      </c>
      <c r="E321" s="22" t="n">
        <v>1803</v>
      </c>
      <c r="F321" s="19" t="n">
        <v>2.93</v>
      </c>
      <c r="G321" s="22" t="n">
        <v>22</v>
      </c>
      <c r="H321" s="19"/>
      <c r="I321" s="23" t="s">
        <v>27</v>
      </c>
      <c r="J321" s="19" t="s">
        <v>388</v>
      </c>
    </row>
    <row r="322" customFormat="false" ht="15" hidden="false" customHeight="false" outlineLevel="0" collapsed="false">
      <c r="A322" s="19" t="s">
        <v>249</v>
      </c>
      <c r="B322" s="19" t="s">
        <v>138</v>
      </c>
      <c r="C322" s="19" t="s">
        <v>319</v>
      </c>
      <c r="D322" s="19" t="s">
        <v>658</v>
      </c>
      <c r="E322" s="22" t="n">
        <v>1196</v>
      </c>
      <c r="F322" s="19"/>
      <c r="G322" s="22" t="n">
        <v>22</v>
      </c>
      <c r="H322" s="19"/>
      <c r="I322" s="23" t="s">
        <v>27</v>
      </c>
      <c r="J322" s="19" t="s">
        <v>330</v>
      </c>
    </row>
    <row r="323" customFormat="false" ht="15" hidden="false" customHeight="false" outlineLevel="0" collapsed="false">
      <c r="A323" s="19" t="s">
        <v>246</v>
      </c>
      <c r="B323" s="19" t="s">
        <v>315</v>
      </c>
      <c r="C323" s="19" t="s">
        <v>316</v>
      </c>
      <c r="D323" s="19" t="s">
        <v>659</v>
      </c>
      <c r="E323" s="22" t="n">
        <v>1100</v>
      </c>
      <c r="F323" s="19" t="n">
        <v>1.09</v>
      </c>
      <c r="G323" s="22" t="n">
        <v>21</v>
      </c>
      <c r="H323" s="19"/>
      <c r="I323" s="23" t="s">
        <v>27</v>
      </c>
      <c r="J323" s="19" t="s">
        <v>372</v>
      </c>
    </row>
    <row r="324" customFormat="false" ht="15" hidden="false" customHeight="false" outlineLevel="0" collapsed="false">
      <c r="A324" s="19" t="s">
        <v>246</v>
      </c>
      <c r="B324" s="19" t="s">
        <v>244</v>
      </c>
      <c r="C324" s="19" t="s">
        <v>365</v>
      </c>
      <c r="D324" s="19" t="s">
        <v>660</v>
      </c>
      <c r="E324" s="22" t="n">
        <v>1243</v>
      </c>
      <c r="F324" s="19" t="n">
        <v>1.94</v>
      </c>
      <c r="G324" s="22" t="n">
        <v>21</v>
      </c>
      <c r="H324" s="19"/>
      <c r="I324" s="23" t="s">
        <v>27</v>
      </c>
      <c r="J324" s="19" t="s">
        <v>422</v>
      </c>
    </row>
    <row r="325" customFormat="false" ht="15" hidden="false" customHeight="false" outlineLevel="0" collapsed="false">
      <c r="A325" s="19" t="s">
        <v>246</v>
      </c>
      <c r="B325" s="19" t="s">
        <v>138</v>
      </c>
      <c r="C325" s="19" t="s">
        <v>367</v>
      </c>
      <c r="D325" s="19" t="s">
        <v>661</v>
      </c>
      <c r="E325" s="22" t="n">
        <v>1071</v>
      </c>
      <c r="F325" s="19"/>
      <c r="G325" s="22" t="n">
        <v>21</v>
      </c>
      <c r="H325" s="19"/>
      <c r="I325" s="23" t="s">
        <v>27</v>
      </c>
      <c r="J325" s="19" t="s">
        <v>326</v>
      </c>
    </row>
    <row r="326" customFormat="false" ht="15" hidden="false" customHeight="false" outlineLevel="0" collapsed="false">
      <c r="A326" s="19" t="s">
        <v>252</v>
      </c>
      <c r="B326" s="19" t="s">
        <v>138</v>
      </c>
      <c r="C326" s="19" t="s">
        <v>446</v>
      </c>
      <c r="D326" s="19" t="s">
        <v>662</v>
      </c>
      <c r="E326" s="22" t="n">
        <v>824</v>
      </c>
      <c r="F326" s="19"/>
      <c r="G326" s="22" t="n">
        <v>20</v>
      </c>
      <c r="H326" s="19"/>
      <c r="I326" s="23" t="s">
        <v>27</v>
      </c>
      <c r="J326" s="19" t="s">
        <v>414</v>
      </c>
    </row>
    <row r="327" customFormat="false" ht="15" hidden="false" customHeight="false" outlineLevel="0" collapsed="false">
      <c r="A327" s="19" t="s">
        <v>252</v>
      </c>
      <c r="B327" s="19" t="s">
        <v>138</v>
      </c>
      <c r="C327" s="19" t="s">
        <v>367</v>
      </c>
      <c r="D327" s="19" t="s">
        <v>663</v>
      </c>
      <c r="E327" s="22" t="n">
        <v>1042</v>
      </c>
      <c r="F327" s="19"/>
      <c r="G327" s="22" t="n">
        <v>20</v>
      </c>
      <c r="H327" s="19"/>
      <c r="I327" s="23" t="s">
        <v>27</v>
      </c>
      <c r="J327" s="19" t="s">
        <v>390</v>
      </c>
    </row>
    <row r="328" customFormat="false" ht="15" hidden="false" customHeight="false" outlineLevel="0" collapsed="false">
      <c r="A328" s="19" t="s">
        <v>246</v>
      </c>
      <c r="B328" s="19" t="s">
        <v>138</v>
      </c>
      <c r="C328" s="19" t="s">
        <v>367</v>
      </c>
      <c r="D328" s="19" t="s">
        <v>664</v>
      </c>
      <c r="E328" s="22" t="n">
        <v>1891</v>
      </c>
      <c r="F328" s="19" t="n">
        <v>4.33</v>
      </c>
      <c r="G328" s="22" t="n">
        <v>20</v>
      </c>
      <c r="H328" s="19"/>
      <c r="I328" s="23" t="s">
        <v>27</v>
      </c>
      <c r="J328" s="19" t="s">
        <v>422</v>
      </c>
    </row>
    <row r="329" customFormat="false" ht="15" hidden="false" customHeight="false" outlineLevel="0" collapsed="false">
      <c r="A329" s="19" t="s">
        <v>246</v>
      </c>
      <c r="B329" s="19" t="s">
        <v>138</v>
      </c>
      <c r="C329" s="19" t="s">
        <v>446</v>
      </c>
      <c r="D329" s="19" t="s">
        <v>665</v>
      </c>
      <c r="E329" s="22" t="n">
        <v>829</v>
      </c>
      <c r="F329" s="19" t="n">
        <v>3.84</v>
      </c>
      <c r="G329" s="22" t="n">
        <v>20</v>
      </c>
      <c r="H329" s="19"/>
      <c r="I329" s="23" t="s">
        <v>27</v>
      </c>
      <c r="J329" s="19" t="s">
        <v>422</v>
      </c>
    </row>
    <row r="330" customFormat="false" ht="15" hidden="false" customHeight="false" outlineLevel="0" collapsed="false">
      <c r="A330" s="19" t="s">
        <v>246</v>
      </c>
      <c r="B330" s="19" t="s">
        <v>254</v>
      </c>
      <c r="C330" s="19" t="s">
        <v>365</v>
      </c>
      <c r="D330" s="19" t="s">
        <v>666</v>
      </c>
      <c r="E330" s="22" t="n">
        <v>2676</v>
      </c>
      <c r="F330" s="19" t="n">
        <v>8.76</v>
      </c>
      <c r="G330" s="22" t="n">
        <v>20</v>
      </c>
      <c r="H330" s="19"/>
      <c r="I330" s="23" t="s">
        <v>27</v>
      </c>
      <c r="J330" s="19" t="s">
        <v>351</v>
      </c>
    </row>
    <row r="331" customFormat="false" ht="15" hidden="false" customHeight="false" outlineLevel="0" collapsed="false">
      <c r="A331" s="19" t="s">
        <v>246</v>
      </c>
      <c r="B331" s="19" t="s">
        <v>244</v>
      </c>
      <c r="C331" s="19" t="s">
        <v>365</v>
      </c>
      <c r="D331" s="19" t="s">
        <v>667</v>
      </c>
      <c r="E331" s="22" t="n">
        <v>1695</v>
      </c>
      <c r="F331" s="19" t="n">
        <v>2.13</v>
      </c>
      <c r="G331" s="22" t="n">
        <v>20</v>
      </c>
      <c r="H331" s="19" t="n">
        <v>4.3</v>
      </c>
      <c r="I331" s="23" t="s">
        <v>27</v>
      </c>
      <c r="J331" s="19" t="s">
        <v>351</v>
      </c>
    </row>
    <row r="332" customFormat="false" ht="15" hidden="false" customHeight="false" outlineLevel="0" collapsed="false">
      <c r="A332" s="19" t="s">
        <v>249</v>
      </c>
      <c r="B332" s="19" t="s">
        <v>138</v>
      </c>
      <c r="C332" s="19" t="s">
        <v>319</v>
      </c>
      <c r="D332" s="19" t="s">
        <v>668</v>
      </c>
      <c r="E332" s="22" t="n">
        <v>604</v>
      </c>
      <c r="F332" s="19"/>
      <c r="G332" s="22" t="n">
        <v>20</v>
      </c>
      <c r="H332" s="19"/>
      <c r="I332" s="23" t="s">
        <v>27</v>
      </c>
      <c r="J332" s="19" t="s">
        <v>330</v>
      </c>
    </row>
    <row r="333" customFormat="false" ht="15" hidden="false" customHeight="false" outlineLevel="0" collapsed="false">
      <c r="A333" s="19" t="s">
        <v>252</v>
      </c>
      <c r="B333" s="19" t="s">
        <v>138</v>
      </c>
      <c r="C333" s="19" t="s">
        <v>446</v>
      </c>
      <c r="D333" s="19" t="s">
        <v>669</v>
      </c>
      <c r="E333" s="22" t="n">
        <v>623</v>
      </c>
      <c r="F333" s="19" t="n">
        <v>1.09</v>
      </c>
      <c r="G333" s="22" t="n">
        <v>19</v>
      </c>
      <c r="H333" s="19" t="n">
        <v>4.8</v>
      </c>
      <c r="I333" s="23" t="s">
        <v>27</v>
      </c>
      <c r="J333" s="19" t="s">
        <v>318</v>
      </c>
    </row>
    <row r="334" customFormat="false" ht="15" hidden="false" customHeight="false" outlineLevel="0" collapsed="false">
      <c r="A334" s="19" t="s">
        <v>252</v>
      </c>
      <c r="B334" s="19" t="s">
        <v>267</v>
      </c>
      <c r="C334" s="19" t="s">
        <v>365</v>
      </c>
      <c r="D334" s="19" t="s">
        <v>670</v>
      </c>
      <c r="E334" s="22" t="n">
        <v>530</v>
      </c>
      <c r="F334" s="19"/>
      <c r="G334" s="22" t="n">
        <v>19</v>
      </c>
      <c r="H334" s="19"/>
      <c r="I334" s="23" t="s">
        <v>27</v>
      </c>
      <c r="J334" s="19" t="s">
        <v>318</v>
      </c>
    </row>
    <row r="335" customFormat="false" ht="15" hidden="false" customHeight="false" outlineLevel="0" collapsed="false">
      <c r="A335" s="19" t="s">
        <v>252</v>
      </c>
      <c r="B335" s="19" t="s">
        <v>267</v>
      </c>
      <c r="C335" s="19" t="s">
        <v>365</v>
      </c>
      <c r="D335" s="19" t="s">
        <v>671</v>
      </c>
      <c r="E335" s="22" t="n">
        <v>961</v>
      </c>
      <c r="F335" s="19"/>
      <c r="G335" s="22" t="n">
        <v>19</v>
      </c>
      <c r="H335" s="19"/>
      <c r="I335" s="23" t="s">
        <v>27</v>
      </c>
      <c r="J335" s="19" t="s">
        <v>479</v>
      </c>
    </row>
    <row r="336" customFormat="false" ht="15" hidden="false" customHeight="false" outlineLevel="0" collapsed="false">
      <c r="A336" s="19" t="s">
        <v>246</v>
      </c>
      <c r="B336" s="19" t="s">
        <v>138</v>
      </c>
      <c r="C336" s="19" t="s">
        <v>446</v>
      </c>
      <c r="D336" s="19" t="s">
        <v>672</v>
      </c>
      <c r="E336" s="22" t="n">
        <v>1042</v>
      </c>
      <c r="F336" s="19" t="n">
        <v>0.99</v>
      </c>
      <c r="G336" s="22" t="n">
        <v>19</v>
      </c>
      <c r="H336" s="19" t="n">
        <v>4.3</v>
      </c>
      <c r="I336" s="23" t="s">
        <v>27</v>
      </c>
      <c r="J336" s="19" t="s">
        <v>323</v>
      </c>
    </row>
    <row r="337" customFormat="false" ht="15" hidden="false" customHeight="false" outlineLevel="0" collapsed="false">
      <c r="A337" s="19" t="s">
        <v>252</v>
      </c>
      <c r="B337" s="19" t="s">
        <v>138</v>
      </c>
      <c r="C337" s="19" t="s">
        <v>319</v>
      </c>
      <c r="D337" s="19" t="s">
        <v>673</v>
      </c>
      <c r="E337" s="22" t="n">
        <v>425</v>
      </c>
      <c r="F337" s="19"/>
      <c r="G337" s="22" t="n">
        <v>19</v>
      </c>
      <c r="H337" s="19"/>
      <c r="I337" s="23" t="s">
        <v>27</v>
      </c>
      <c r="J337" s="19" t="s">
        <v>345</v>
      </c>
    </row>
    <row r="338" customFormat="false" ht="15" hidden="false" customHeight="false" outlineLevel="0" collapsed="false">
      <c r="A338" s="19" t="s">
        <v>252</v>
      </c>
      <c r="B338" s="19" t="s">
        <v>263</v>
      </c>
      <c r="C338" s="19" t="s">
        <v>365</v>
      </c>
      <c r="D338" s="19" t="s">
        <v>615</v>
      </c>
      <c r="E338" s="22" t="n">
        <v>807</v>
      </c>
      <c r="F338" s="19"/>
      <c r="G338" s="22" t="n">
        <v>18</v>
      </c>
      <c r="H338" s="19" t="n">
        <v>3.5</v>
      </c>
      <c r="I338" s="23" t="s">
        <v>27</v>
      </c>
      <c r="J338" s="19" t="s">
        <v>318</v>
      </c>
    </row>
    <row r="339" customFormat="false" ht="15" hidden="false" customHeight="false" outlineLevel="0" collapsed="false">
      <c r="A339" s="19" t="s">
        <v>252</v>
      </c>
      <c r="B339" s="19" t="s">
        <v>315</v>
      </c>
      <c r="C339" s="19" t="s">
        <v>316</v>
      </c>
      <c r="D339" s="19" t="s">
        <v>674</v>
      </c>
      <c r="E339" s="22" t="n">
        <v>669</v>
      </c>
      <c r="F339" s="19"/>
      <c r="G339" s="22" t="n">
        <v>18</v>
      </c>
      <c r="H339" s="19"/>
      <c r="I339" s="23" t="s">
        <v>27</v>
      </c>
      <c r="J339" s="19" t="s">
        <v>318</v>
      </c>
    </row>
    <row r="340" customFormat="false" ht="15" hidden="false" customHeight="false" outlineLevel="0" collapsed="false">
      <c r="A340" s="19" t="s">
        <v>252</v>
      </c>
      <c r="B340" s="19" t="s">
        <v>315</v>
      </c>
      <c r="C340" s="19" t="s">
        <v>316</v>
      </c>
      <c r="D340" s="19" t="s">
        <v>317</v>
      </c>
      <c r="E340" s="22" t="n">
        <v>1698</v>
      </c>
      <c r="F340" s="19" t="n">
        <v>1.09</v>
      </c>
      <c r="G340" s="22" t="n">
        <v>18</v>
      </c>
      <c r="H340" s="19"/>
      <c r="I340" s="23" t="s">
        <v>27</v>
      </c>
      <c r="J340" s="19" t="s">
        <v>414</v>
      </c>
    </row>
    <row r="341" customFormat="false" ht="15" hidden="false" customHeight="false" outlineLevel="0" collapsed="false">
      <c r="A341" s="19" t="s">
        <v>249</v>
      </c>
      <c r="B341" s="19" t="s">
        <v>272</v>
      </c>
      <c r="C341" s="19" t="s">
        <v>365</v>
      </c>
      <c r="D341" s="19" t="s">
        <v>675</v>
      </c>
      <c r="E341" s="22" t="n">
        <v>976</v>
      </c>
      <c r="F341" s="19" t="n">
        <v>0.99</v>
      </c>
      <c r="G341" s="22" t="n">
        <v>18</v>
      </c>
      <c r="H341" s="19"/>
      <c r="I341" s="23" t="s">
        <v>27</v>
      </c>
      <c r="J341" s="19" t="s">
        <v>364</v>
      </c>
    </row>
    <row r="342" customFormat="false" ht="15" hidden="false" customHeight="false" outlineLevel="0" collapsed="false">
      <c r="A342" s="19" t="s">
        <v>246</v>
      </c>
      <c r="B342" s="19" t="s">
        <v>244</v>
      </c>
      <c r="C342" s="19" t="s">
        <v>365</v>
      </c>
      <c r="D342" s="19" t="s">
        <v>676</v>
      </c>
      <c r="E342" s="22" t="n">
        <v>3716</v>
      </c>
      <c r="F342" s="19" t="n">
        <v>11.32</v>
      </c>
      <c r="G342" s="22" t="n">
        <v>18</v>
      </c>
      <c r="H342" s="19"/>
      <c r="I342" s="23" t="s">
        <v>27</v>
      </c>
      <c r="J342" s="19" t="s">
        <v>372</v>
      </c>
    </row>
    <row r="343" customFormat="false" ht="15" hidden="false" customHeight="false" outlineLevel="0" collapsed="false">
      <c r="A343" s="19" t="s">
        <v>249</v>
      </c>
      <c r="B343" s="19" t="s">
        <v>138</v>
      </c>
      <c r="C343" s="19" t="s">
        <v>319</v>
      </c>
      <c r="D343" s="19" t="s">
        <v>677</v>
      </c>
      <c r="E343" s="22" t="n">
        <v>1168</v>
      </c>
      <c r="F343" s="19" t="n">
        <v>0.99</v>
      </c>
      <c r="G343" s="22" t="n">
        <v>18</v>
      </c>
      <c r="H343" s="19"/>
      <c r="I343" s="23" t="s">
        <v>27</v>
      </c>
      <c r="J343" s="19" t="s">
        <v>323</v>
      </c>
    </row>
    <row r="344" customFormat="false" ht="15" hidden="false" customHeight="false" outlineLevel="0" collapsed="false">
      <c r="A344" s="19" t="s">
        <v>246</v>
      </c>
      <c r="B344" s="19" t="s">
        <v>254</v>
      </c>
      <c r="C344" s="19" t="s">
        <v>365</v>
      </c>
      <c r="D344" s="19" t="s">
        <v>678</v>
      </c>
      <c r="E344" s="22" t="n">
        <v>1621</v>
      </c>
      <c r="F344" s="19" t="n">
        <v>1.92</v>
      </c>
      <c r="G344" s="22" t="n">
        <v>18</v>
      </c>
      <c r="H344" s="19"/>
      <c r="I344" s="23" t="s">
        <v>27</v>
      </c>
      <c r="J344" s="19" t="s">
        <v>351</v>
      </c>
    </row>
    <row r="345" customFormat="false" ht="15" hidden="false" customHeight="false" outlineLevel="0" collapsed="false">
      <c r="A345" s="19" t="s">
        <v>246</v>
      </c>
      <c r="B345" s="19" t="s">
        <v>254</v>
      </c>
      <c r="C345" s="19" t="s">
        <v>365</v>
      </c>
      <c r="D345" s="19" t="s">
        <v>679</v>
      </c>
      <c r="E345" s="22" t="n">
        <v>636</v>
      </c>
      <c r="F345" s="19"/>
      <c r="G345" s="22" t="n">
        <v>18</v>
      </c>
      <c r="H345" s="19"/>
      <c r="I345" s="23" t="s">
        <v>27</v>
      </c>
      <c r="J345" s="19" t="s">
        <v>351</v>
      </c>
    </row>
    <row r="346" customFormat="false" ht="15" hidden="false" customHeight="false" outlineLevel="0" collapsed="false">
      <c r="A346" s="19" t="s">
        <v>246</v>
      </c>
      <c r="B346" s="19" t="s">
        <v>254</v>
      </c>
      <c r="C346" s="19" t="s">
        <v>365</v>
      </c>
      <c r="D346" s="19" t="s">
        <v>680</v>
      </c>
      <c r="E346" s="22" t="n">
        <v>1683</v>
      </c>
      <c r="F346" s="19" t="n">
        <v>2.07</v>
      </c>
      <c r="G346" s="22" t="n">
        <v>18</v>
      </c>
      <c r="H346" s="19"/>
      <c r="I346" s="23" t="s">
        <v>27</v>
      </c>
      <c r="J346" s="19" t="s">
        <v>351</v>
      </c>
    </row>
    <row r="347" customFormat="false" ht="15" hidden="false" customHeight="false" outlineLevel="0" collapsed="false">
      <c r="A347" s="19" t="s">
        <v>249</v>
      </c>
      <c r="B347" s="19" t="s">
        <v>138</v>
      </c>
      <c r="C347" s="19" t="s">
        <v>446</v>
      </c>
      <c r="D347" s="19" t="s">
        <v>681</v>
      </c>
      <c r="E347" s="22" t="n">
        <v>1979</v>
      </c>
      <c r="F347" s="19" t="n">
        <v>1.09</v>
      </c>
      <c r="G347" s="22" t="n">
        <v>18</v>
      </c>
      <c r="H347" s="19" t="n">
        <v>4.8</v>
      </c>
      <c r="I347" s="23" t="s">
        <v>27</v>
      </c>
      <c r="J347" s="19" t="s">
        <v>428</v>
      </c>
    </row>
    <row r="348" customFormat="false" ht="15" hidden="false" customHeight="false" outlineLevel="0" collapsed="false">
      <c r="A348" s="19" t="s">
        <v>252</v>
      </c>
      <c r="B348" s="19" t="s">
        <v>138</v>
      </c>
      <c r="C348" s="19" t="s">
        <v>319</v>
      </c>
      <c r="D348" s="19" t="s">
        <v>682</v>
      </c>
      <c r="E348" s="22" t="n">
        <v>829</v>
      </c>
      <c r="F348" s="19"/>
      <c r="G348" s="22" t="n">
        <v>18</v>
      </c>
      <c r="H348" s="19"/>
      <c r="I348" s="23" t="s">
        <v>27</v>
      </c>
      <c r="J348" s="19" t="s">
        <v>345</v>
      </c>
    </row>
    <row r="349" customFormat="false" ht="15" hidden="false" customHeight="false" outlineLevel="0" collapsed="false">
      <c r="A349" s="19" t="s">
        <v>252</v>
      </c>
      <c r="B349" s="19" t="s">
        <v>138</v>
      </c>
      <c r="C349" s="19" t="s">
        <v>319</v>
      </c>
      <c r="D349" s="19" t="s">
        <v>683</v>
      </c>
      <c r="E349" s="22" t="n">
        <v>462</v>
      </c>
      <c r="F349" s="19"/>
      <c r="G349" s="22" t="n">
        <v>18</v>
      </c>
      <c r="H349" s="19" t="n">
        <v>4.4</v>
      </c>
      <c r="I349" s="23" t="s">
        <v>27</v>
      </c>
      <c r="J349" s="19" t="s">
        <v>345</v>
      </c>
    </row>
    <row r="350" customFormat="false" ht="15" hidden="false" customHeight="false" outlineLevel="0" collapsed="false">
      <c r="A350" s="19" t="s">
        <v>249</v>
      </c>
      <c r="B350" s="19" t="s">
        <v>138</v>
      </c>
      <c r="C350" s="19" t="s">
        <v>319</v>
      </c>
      <c r="D350" s="19" t="s">
        <v>684</v>
      </c>
      <c r="E350" s="22" t="n">
        <v>921</v>
      </c>
      <c r="F350" s="19"/>
      <c r="G350" s="22" t="n">
        <v>18</v>
      </c>
      <c r="H350" s="19"/>
      <c r="I350" s="23" t="s">
        <v>27</v>
      </c>
      <c r="J350" s="19" t="s">
        <v>330</v>
      </c>
    </row>
    <row r="351" customFormat="false" ht="15" hidden="false" customHeight="false" outlineLevel="0" collapsed="false">
      <c r="A351" s="19" t="s">
        <v>252</v>
      </c>
      <c r="B351" s="19" t="s">
        <v>138</v>
      </c>
      <c r="C351" s="19" t="s">
        <v>446</v>
      </c>
      <c r="D351" s="19" t="s">
        <v>685</v>
      </c>
      <c r="E351" s="22" t="n">
        <v>671</v>
      </c>
      <c r="F351" s="19" t="n">
        <v>1.09</v>
      </c>
      <c r="G351" s="22" t="n">
        <v>17</v>
      </c>
      <c r="H351" s="19"/>
      <c r="I351" s="23" t="s">
        <v>27</v>
      </c>
      <c r="J351" s="19" t="s">
        <v>414</v>
      </c>
    </row>
    <row r="352" customFormat="false" ht="15" hidden="false" customHeight="false" outlineLevel="0" collapsed="false">
      <c r="A352" s="19" t="s">
        <v>246</v>
      </c>
      <c r="B352" s="19" t="s">
        <v>138</v>
      </c>
      <c r="C352" s="19" t="s">
        <v>319</v>
      </c>
      <c r="D352" s="19" t="s">
        <v>686</v>
      </c>
      <c r="E352" s="22" t="n">
        <v>993</v>
      </c>
      <c r="F352" s="19"/>
      <c r="G352" s="22" t="n">
        <v>17</v>
      </c>
      <c r="H352" s="19" t="n">
        <v>3.5</v>
      </c>
      <c r="I352" s="23" t="s">
        <v>27</v>
      </c>
      <c r="J352" s="19" t="s">
        <v>326</v>
      </c>
    </row>
    <row r="353" customFormat="false" ht="15" hidden="false" customHeight="false" outlineLevel="0" collapsed="false">
      <c r="A353" s="19" t="s">
        <v>249</v>
      </c>
      <c r="B353" s="19" t="s">
        <v>254</v>
      </c>
      <c r="C353" s="19" t="s">
        <v>365</v>
      </c>
      <c r="D353" s="19" t="s">
        <v>687</v>
      </c>
      <c r="E353" s="22" t="n">
        <v>1014</v>
      </c>
      <c r="F353" s="19"/>
      <c r="G353" s="22" t="n">
        <v>17</v>
      </c>
      <c r="H353" s="19"/>
      <c r="I353" s="23" t="s">
        <v>27</v>
      </c>
      <c r="J353" s="19" t="s">
        <v>539</v>
      </c>
    </row>
    <row r="354" customFormat="false" ht="15" hidden="false" customHeight="false" outlineLevel="0" collapsed="false">
      <c r="A354" s="19" t="s">
        <v>246</v>
      </c>
      <c r="B354" s="19" t="s">
        <v>254</v>
      </c>
      <c r="C354" s="19" t="s">
        <v>365</v>
      </c>
      <c r="D354" s="19" t="s">
        <v>688</v>
      </c>
      <c r="E354" s="22" t="n">
        <v>1918</v>
      </c>
      <c r="F354" s="19" t="n">
        <v>3.58</v>
      </c>
      <c r="G354" s="22" t="n">
        <v>17</v>
      </c>
      <c r="H354" s="19"/>
      <c r="I354" s="23" t="s">
        <v>27</v>
      </c>
      <c r="J354" s="19" t="s">
        <v>388</v>
      </c>
    </row>
    <row r="355" customFormat="false" ht="15" hidden="false" customHeight="false" outlineLevel="0" collapsed="false">
      <c r="A355" s="19" t="s">
        <v>249</v>
      </c>
      <c r="B355" s="19" t="s">
        <v>138</v>
      </c>
      <c r="C355" s="19" t="s">
        <v>319</v>
      </c>
      <c r="D355" s="19" t="s">
        <v>689</v>
      </c>
      <c r="E355" s="22" t="n">
        <v>2339</v>
      </c>
      <c r="F355" s="19"/>
      <c r="G355" s="22" t="n">
        <v>17</v>
      </c>
      <c r="H355" s="19" t="n">
        <v>4.3</v>
      </c>
      <c r="I355" s="23" t="s">
        <v>27</v>
      </c>
      <c r="J355" s="19" t="s">
        <v>330</v>
      </c>
    </row>
    <row r="356" customFormat="false" ht="15" hidden="false" customHeight="false" outlineLevel="0" collapsed="false">
      <c r="A356" s="19" t="s">
        <v>249</v>
      </c>
      <c r="B356" s="19" t="s">
        <v>138</v>
      </c>
      <c r="C356" s="19" t="s">
        <v>319</v>
      </c>
      <c r="D356" s="19" t="s">
        <v>690</v>
      </c>
      <c r="E356" s="22" t="n">
        <v>1416</v>
      </c>
      <c r="F356" s="19"/>
      <c r="G356" s="22" t="n">
        <v>17</v>
      </c>
      <c r="H356" s="19"/>
      <c r="I356" s="23" t="s">
        <v>27</v>
      </c>
      <c r="J356" s="19" t="s">
        <v>330</v>
      </c>
    </row>
    <row r="357" customFormat="false" ht="15" hidden="false" customHeight="false" outlineLevel="0" collapsed="false">
      <c r="A357" s="19" t="s">
        <v>246</v>
      </c>
      <c r="B357" s="19" t="s">
        <v>254</v>
      </c>
      <c r="C357" s="19" t="s">
        <v>365</v>
      </c>
      <c r="D357" s="19" t="s">
        <v>470</v>
      </c>
      <c r="E357" s="22" t="n">
        <v>1860</v>
      </c>
      <c r="F357" s="19" t="n">
        <v>1.09</v>
      </c>
      <c r="G357" s="22" t="n">
        <v>16</v>
      </c>
      <c r="H357" s="19"/>
      <c r="I357" s="23" t="s">
        <v>27</v>
      </c>
      <c r="J357" s="19" t="s">
        <v>372</v>
      </c>
    </row>
    <row r="358" customFormat="false" ht="15" hidden="false" customHeight="false" outlineLevel="0" collapsed="false">
      <c r="A358" s="19" t="s">
        <v>252</v>
      </c>
      <c r="B358" s="19" t="s">
        <v>138</v>
      </c>
      <c r="C358" s="19" t="s">
        <v>319</v>
      </c>
      <c r="D358" s="19" t="s">
        <v>691</v>
      </c>
      <c r="E358" s="22" t="n">
        <v>92</v>
      </c>
      <c r="F358" s="19"/>
      <c r="G358" s="22" t="n">
        <v>15</v>
      </c>
      <c r="H358" s="19"/>
      <c r="I358" s="23" t="s">
        <v>27</v>
      </c>
      <c r="J358" s="19" t="s">
        <v>390</v>
      </c>
    </row>
    <row r="359" customFormat="false" ht="15" hidden="false" customHeight="false" outlineLevel="0" collapsed="false">
      <c r="A359" s="19" t="s">
        <v>332</v>
      </c>
      <c r="B359" s="19" t="s">
        <v>138</v>
      </c>
      <c r="C359" s="19" t="s">
        <v>367</v>
      </c>
      <c r="D359" s="19" t="s">
        <v>692</v>
      </c>
      <c r="E359" s="22" t="n">
        <v>2496</v>
      </c>
      <c r="F359" s="19" t="n">
        <v>23.02</v>
      </c>
      <c r="G359" s="22" t="n">
        <v>15</v>
      </c>
      <c r="H359" s="19"/>
      <c r="I359" s="23" t="s">
        <v>27</v>
      </c>
      <c r="J359" s="19" t="s">
        <v>326</v>
      </c>
    </row>
    <row r="360" customFormat="false" ht="15" hidden="false" customHeight="false" outlineLevel="0" collapsed="false">
      <c r="A360" s="19" t="s">
        <v>246</v>
      </c>
      <c r="B360" s="19" t="s">
        <v>254</v>
      </c>
      <c r="C360" s="19" t="s">
        <v>365</v>
      </c>
      <c r="D360" s="19" t="s">
        <v>693</v>
      </c>
      <c r="E360" s="22" t="n">
        <v>1778</v>
      </c>
      <c r="F360" s="19" t="n">
        <v>2.8</v>
      </c>
      <c r="G360" s="22" t="n">
        <v>15</v>
      </c>
      <c r="H360" s="19"/>
      <c r="I360" s="23" t="s">
        <v>27</v>
      </c>
      <c r="J360" s="19" t="s">
        <v>351</v>
      </c>
    </row>
    <row r="361" customFormat="false" ht="15" hidden="false" customHeight="false" outlineLevel="0" collapsed="false">
      <c r="A361" s="19" t="s">
        <v>252</v>
      </c>
      <c r="B361" s="19" t="s">
        <v>138</v>
      </c>
      <c r="C361" s="19" t="s">
        <v>319</v>
      </c>
      <c r="D361" s="19" t="s">
        <v>694</v>
      </c>
      <c r="E361" s="22" t="n">
        <v>1034</v>
      </c>
      <c r="F361" s="19" t="n">
        <v>1.09</v>
      </c>
      <c r="G361" s="22" t="n">
        <v>14</v>
      </c>
      <c r="H361" s="19" t="n">
        <v>4.3</v>
      </c>
      <c r="I361" s="23" t="s">
        <v>27</v>
      </c>
      <c r="J361" s="19" t="s">
        <v>339</v>
      </c>
    </row>
    <row r="362" customFormat="false" ht="15" hidden="false" customHeight="false" outlineLevel="0" collapsed="false">
      <c r="A362" s="19" t="s">
        <v>249</v>
      </c>
      <c r="B362" s="19" t="s">
        <v>267</v>
      </c>
      <c r="C362" s="19" t="s">
        <v>365</v>
      </c>
      <c r="D362" s="19" t="s">
        <v>695</v>
      </c>
      <c r="E362" s="22" t="n">
        <v>2656</v>
      </c>
      <c r="F362" s="19"/>
      <c r="G362" s="22" t="n">
        <v>14</v>
      </c>
      <c r="H362" s="19"/>
      <c r="I362" s="23" t="s">
        <v>27</v>
      </c>
      <c r="J362" s="19" t="s">
        <v>479</v>
      </c>
    </row>
    <row r="363" customFormat="false" ht="15" hidden="false" customHeight="false" outlineLevel="0" collapsed="false">
      <c r="A363" s="19" t="s">
        <v>246</v>
      </c>
      <c r="B363" s="19" t="s">
        <v>138</v>
      </c>
      <c r="C363" s="19" t="s">
        <v>446</v>
      </c>
      <c r="D363" s="19" t="s">
        <v>696</v>
      </c>
      <c r="E363" s="22" t="n">
        <v>1804</v>
      </c>
      <c r="F363" s="19" t="n">
        <v>4.07</v>
      </c>
      <c r="G363" s="22" t="n">
        <v>14</v>
      </c>
      <c r="H363" s="19"/>
      <c r="I363" s="23" t="s">
        <v>27</v>
      </c>
      <c r="J363" s="19" t="s">
        <v>422</v>
      </c>
    </row>
    <row r="364" customFormat="false" ht="15" hidden="false" customHeight="false" outlineLevel="0" collapsed="false">
      <c r="A364" s="19" t="s">
        <v>249</v>
      </c>
      <c r="B364" s="19" t="s">
        <v>315</v>
      </c>
      <c r="C364" s="19" t="s">
        <v>316</v>
      </c>
      <c r="D364" s="19" t="s">
        <v>697</v>
      </c>
      <c r="E364" s="22" t="n">
        <v>1013</v>
      </c>
      <c r="F364" s="19"/>
      <c r="G364" s="22" t="n">
        <v>14</v>
      </c>
      <c r="H364" s="19"/>
      <c r="I364" s="23" t="s">
        <v>27</v>
      </c>
      <c r="J364" s="19" t="s">
        <v>428</v>
      </c>
    </row>
    <row r="365" customFormat="false" ht="15" hidden="false" customHeight="false" outlineLevel="0" collapsed="false">
      <c r="A365" s="19" t="s">
        <v>246</v>
      </c>
      <c r="B365" s="19" t="s">
        <v>138</v>
      </c>
      <c r="C365" s="19" t="s">
        <v>319</v>
      </c>
      <c r="D365" s="19" t="s">
        <v>698</v>
      </c>
      <c r="E365" s="22" t="n">
        <v>211</v>
      </c>
      <c r="F365" s="19"/>
      <c r="G365" s="22" t="n">
        <v>14</v>
      </c>
      <c r="H365" s="19"/>
      <c r="I365" s="23" t="s">
        <v>27</v>
      </c>
      <c r="J365" s="19" t="s">
        <v>321</v>
      </c>
    </row>
    <row r="366" customFormat="false" ht="15" hidden="false" customHeight="false" outlineLevel="0" collapsed="false">
      <c r="A366" s="19" t="s">
        <v>249</v>
      </c>
      <c r="B366" s="19" t="s">
        <v>138</v>
      </c>
      <c r="C366" s="19" t="s">
        <v>319</v>
      </c>
      <c r="D366" s="19" t="s">
        <v>699</v>
      </c>
      <c r="E366" s="22" t="n">
        <v>2622</v>
      </c>
      <c r="F366" s="19"/>
      <c r="G366" s="22" t="n">
        <v>14</v>
      </c>
      <c r="H366" s="19"/>
      <c r="I366" s="23" t="s">
        <v>27</v>
      </c>
      <c r="J366" s="19" t="s">
        <v>330</v>
      </c>
    </row>
    <row r="367" customFormat="false" ht="15" hidden="false" customHeight="false" outlineLevel="0" collapsed="false">
      <c r="A367" s="19" t="s">
        <v>252</v>
      </c>
      <c r="B367" s="19" t="s">
        <v>254</v>
      </c>
      <c r="C367" s="19" t="s">
        <v>365</v>
      </c>
      <c r="D367" s="19" t="s">
        <v>700</v>
      </c>
      <c r="E367" s="22" t="n">
        <v>699</v>
      </c>
      <c r="F367" s="19" t="n">
        <v>0.99</v>
      </c>
      <c r="G367" s="22" t="n">
        <v>13</v>
      </c>
      <c r="H367" s="19"/>
      <c r="I367" s="23" t="s">
        <v>27</v>
      </c>
      <c r="J367" s="19" t="s">
        <v>364</v>
      </c>
    </row>
    <row r="368" customFormat="false" ht="15" hidden="false" customHeight="false" outlineLevel="0" collapsed="false">
      <c r="A368" s="19" t="s">
        <v>246</v>
      </c>
      <c r="B368" s="19" t="s">
        <v>138</v>
      </c>
      <c r="C368" s="19" t="s">
        <v>446</v>
      </c>
      <c r="D368" s="19" t="s">
        <v>701</v>
      </c>
      <c r="E368" s="22" t="n">
        <v>729</v>
      </c>
      <c r="F368" s="19" t="n">
        <v>2.66</v>
      </c>
      <c r="G368" s="22" t="n">
        <v>13</v>
      </c>
      <c r="H368" s="19"/>
      <c r="I368" s="23" t="s">
        <v>27</v>
      </c>
      <c r="J368" s="19" t="s">
        <v>422</v>
      </c>
    </row>
    <row r="369" customFormat="false" ht="15" hidden="false" customHeight="false" outlineLevel="0" collapsed="false">
      <c r="A369" s="19" t="s">
        <v>249</v>
      </c>
      <c r="B369" s="19" t="s">
        <v>138</v>
      </c>
      <c r="C369" s="19" t="s">
        <v>530</v>
      </c>
      <c r="D369" s="19" t="s">
        <v>702</v>
      </c>
      <c r="E369" s="22" t="n">
        <v>1009</v>
      </c>
      <c r="F369" s="19"/>
      <c r="G369" s="22" t="n">
        <v>13</v>
      </c>
      <c r="H369" s="19"/>
      <c r="I369" s="23" t="s">
        <v>27</v>
      </c>
      <c r="J369" s="19" t="s">
        <v>539</v>
      </c>
    </row>
    <row r="370" customFormat="false" ht="15" hidden="false" customHeight="false" outlineLevel="0" collapsed="false">
      <c r="A370" s="19" t="s">
        <v>249</v>
      </c>
      <c r="B370" s="19" t="s">
        <v>138</v>
      </c>
      <c r="C370" s="19" t="s">
        <v>319</v>
      </c>
      <c r="D370" s="19" t="s">
        <v>703</v>
      </c>
      <c r="E370" s="22" t="n">
        <v>2785</v>
      </c>
      <c r="F370" s="19" t="n">
        <v>27.08</v>
      </c>
      <c r="G370" s="22" t="n">
        <v>13</v>
      </c>
      <c r="H370" s="19"/>
      <c r="I370" s="23" t="s">
        <v>27</v>
      </c>
      <c r="J370" s="19" t="s">
        <v>330</v>
      </c>
    </row>
    <row r="371" customFormat="false" ht="15" hidden="false" customHeight="false" outlineLevel="0" collapsed="false">
      <c r="A371" s="19" t="s">
        <v>252</v>
      </c>
      <c r="B371" s="19" t="s">
        <v>138</v>
      </c>
      <c r="C371" s="19" t="s">
        <v>530</v>
      </c>
      <c r="D371" s="19" t="s">
        <v>704</v>
      </c>
      <c r="E371" s="22" t="n">
        <v>563</v>
      </c>
      <c r="F371" s="19"/>
      <c r="G371" s="22" t="n">
        <v>12</v>
      </c>
      <c r="H371" s="19"/>
      <c r="I371" s="23" t="s">
        <v>27</v>
      </c>
      <c r="J371" s="19" t="s">
        <v>318</v>
      </c>
    </row>
    <row r="372" customFormat="false" ht="15" hidden="false" customHeight="false" outlineLevel="0" collapsed="false">
      <c r="A372" s="19" t="s">
        <v>246</v>
      </c>
      <c r="B372" s="19" t="s">
        <v>284</v>
      </c>
      <c r="C372" s="19" t="s">
        <v>365</v>
      </c>
      <c r="D372" s="19" t="s">
        <v>705</v>
      </c>
      <c r="E372" s="22" t="n">
        <v>811</v>
      </c>
      <c r="F372" s="19"/>
      <c r="G372" s="22" t="n">
        <v>12</v>
      </c>
      <c r="H372" s="19"/>
      <c r="I372" s="23" t="s">
        <v>27</v>
      </c>
      <c r="J372" s="19" t="s">
        <v>372</v>
      </c>
    </row>
    <row r="373" customFormat="false" ht="15" hidden="false" customHeight="false" outlineLevel="0" collapsed="false">
      <c r="A373" s="19" t="s">
        <v>246</v>
      </c>
      <c r="B373" s="19" t="s">
        <v>315</v>
      </c>
      <c r="C373" s="19" t="s">
        <v>316</v>
      </c>
      <c r="D373" s="19" t="s">
        <v>706</v>
      </c>
      <c r="E373" s="22" t="n">
        <v>1185</v>
      </c>
      <c r="F373" s="19" t="n">
        <v>1.09</v>
      </c>
      <c r="G373" s="22" t="n">
        <v>12</v>
      </c>
      <c r="H373" s="19" t="n">
        <v>3.5</v>
      </c>
      <c r="I373" s="23" t="s">
        <v>27</v>
      </c>
      <c r="J373" s="19" t="s">
        <v>372</v>
      </c>
    </row>
    <row r="374" customFormat="false" ht="15" hidden="false" customHeight="false" outlineLevel="0" collapsed="false">
      <c r="A374" s="19" t="s">
        <v>249</v>
      </c>
      <c r="B374" s="19" t="s">
        <v>315</v>
      </c>
      <c r="C374" s="19" t="s">
        <v>316</v>
      </c>
      <c r="D374" s="19" t="s">
        <v>707</v>
      </c>
      <c r="E374" s="22" t="n">
        <v>960</v>
      </c>
      <c r="F374" s="19"/>
      <c r="G374" s="22" t="n">
        <v>12</v>
      </c>
      <c r="H374" s="19"/>
      <c r="I374" s="23" t="s">
        <v>27</v>
      </c>
      <c r="J374" s="19" t="s">
        <v>428</v>
      </c>
    </row>
    <row r="375" customFormat="false" ht="15" hidden="false" customHeight="false" outlineLevel="0" collapsed="false">
      <c r="A375" s="19" t="s">
        <v>246</v>
      </c>
      <c r="B375" s="19" t="s">
        <v>138</v>
      </c>
      <c r="C375" s="19" t="s">
        <v>319</v>
      </c>
      <c r="D375" s="19" t="s">
        <v>708</v>
      </c>
      <c r="E375" s="22" t="n">
        <v>905</v>
      </c>
      <c r="F375" s="19"/>
      <c r="G375" s="22" t="n">
        <v>12</v>
      </c>
      <c r="H375" s="19" t="n">
        <v>4.8</v>
      </c>
      <c r="I375" s="23" t="s">
        <v>27</v>
      </c>
      <c r="J375" s="19" t="s">
        <v>321</v>
      </c>
    </row>
    <row r="376" customFormat="false" ht="15" hidden="false" customHeight="false" outlineLevel="0" collapsed="false">
      <c r="A376" s="19" t="s">
        <v>246</v>
      </c>
      <c r="B376" s="19" t="s">
        <v>138</v>
      </c>
      <c r="C376" s="19" t="s">
        <v>367</v>
      </c>
      <c r="D376" s="19" t="s">
        <v>709</v>
      </c>
      <c r="E376" s="22" t="n">
        <v>1891</v>
      </c>
      <c r="F376" s="19" t="n">
        <v>3.2</v>
      </c>
      <c r="G376" s="22" t="n">
        <v>12</v>
      </c>
      <c r="H376" s="19"/>
      <c r="I376" s="23" t="s">
        <v>27</v>
      </c>
      <c r="J376" s="19" t="s">
        <v>388</v>
      </c>
    </row>
    <row r="377" customFormat="false" ht="15" hidden="false" customHeight="false" outlineLevel="0" collapsed="false">
      <c r="A377" s="19" t="s">
        <v>252</v>
      </c>
      <c r="B377" s="19" t="s">
        <v>244</v>
      </c>
      <c r="C377" s="19" t="s">
        <v>365</v>
      </c>
      <c r="D377" s="19" t="s">
        <v>710</v>
      </c>
      <c r="E377" s="22" t="n">
        <v>695</v>
      </c>
      <c r="F377" s="19"/>
      <c r="G377" s="22" t="n">
        <v>11</v>
      </c>
      <c r="H377" s="19"/>
      <c r="I377" s="23" t="s">
        <v>27</v>
      </c>
      <c r="J377" s="19" t="s">
        <v>318</v>
      </c>
    </row>
    <row r="378" customFormat="false" ht="15" hidden="false" customHeight="false" outlineLevel="0" collapsed="false">
      <c r="A378" s="19" t="s">
        <v>252</v>
      </c>
      <c r="B378" s="19" t="s">
        <v>263</v>
      </c>
      <c r="C378" s="19" t="s">
        <v>365</v>
      </c>
      <c r="D378" s="19" t="s">
        <v>711</v>
      </c>
      <c r="E378" s="22" t="n">
        <v>631</v>
      </c>
      <c r="F378" s="19"/>
      <c r="G378" s="22" t="n">
        <v>11</v>
      </c>
      <c r="H378" s="19"/>
      <c r="I378" s="23" t="s">
        <v>27</v>
      </c>
      <c r="J378" s="19" t="s">
        <v>318</v>
      </c>
    </row>
    <row r="379" customFormat="false" ht="15" hidden="false" customHeight="false" outlineLevel="0" collapsed="false">
      <c r="A379" s="19" t="s">
        <v>252</v>
      </c>
      <c r="B379" s="19" t="s">
        <v>138</v>
      </c>
      <c r="C379" s="19" t="s">
        <v>319</v>
      </c>
      <c r="D379" s="19" t="s">
        <v>712</v>
      </c>
      <c r="E379" s="22" t="n">
        <v>92</v>
      </c>
      <c r="F379" s="19"/>
      <c r="G379" s="22" t="n">
        <v>11</v>
      </c>
      <c r="H379" s="19"/>
      <c r="I379" s="23" t="s">
        <v>27</v>
      </c>
      <c r="J379" s="19" t="s">
        <v>390</v>
      </c>
    </row>
    <row r="380" customFormat="false" ht="15" hidden="false" customHeight="false" outlineLevel="0" collapsed="false">
      <c r="A380" s="19" t="s">
        <v>252</v>
      </c>
      <c r="B380" s="19" t="s">
        <v>267</v>
      </c>
      <c r="C380" s="19" t="s">
        <v>365</v>
      </c>
      <c r="D380" s="19" t="s">
        <v>713</v>
      </c>
      <c r="E380" s="22" t="n">
        <v>765</v>
      </c>
      <c r="F380" s="19"/>
      <c r="G380" s="22" t="n">
        <v>11</v>
      </c>
      <c r="H380" s="19"/>
      <c r="I380" s="23" t="s">
        <v>27</v>
      </c>
      <c r="J380" s="19" t="s">
        <v>479</v>
      </c>
    </row>
    <row r="381" customFormat="false" ht="15" hidden="false" customHeight="false" outlineLevel="0" collapsed="false">
      <c r="A381" s="19" t="s">
        <v>252</v>
      </c>
      <c r="B381" s="19" t="s">
        <v>272</v>
      </c>
      <c r="C381" s="19" t="s">
        <v>365</v>
      </c>
      <c r="D381" s="19" t="s">
        <v>714</v>
      </c>
      <c r="E381" s="22" t="n">
        <v>1580</v>
      </c>
      <c r="F381" s="19" t="n">
        <v>12.76</v>
      </c>
      <c r="G381" s="22" t="n">
        <v>11</v>
      </c>
      <c r="H381" s="19"/>
      <c r="I381" s="23" t="s">
        <v>27</v>
      </c>
      <c r="J381" s="19" t="s">
        <v>370</v>
      </c>
    </row>
    <row r="382" customFormat="false" ht="15" hidden="false" customHeight="false" outlineLevel="0" collapsed="false">
      <c r="A382" s="19" t="s">
        <v>246</v>
      </c>
      <c r="B382" s="19" t="s">
        <v>138</v>
      </c>
      <c r="C382" s="19" t="s">
        <v>446</v>
      </c>
      <c r="D382" s="19" t="s">
        <v>715</v>
      </c>
      <c r="E382" s="22" t="n">
        <v>1473</v>
      </c>
      <c r="F382" s="19" t="n">
        <v>1.09</v>
      </c>
      <c r="G382" s="22" t="n">
        <v>11</v>
      </c>
      <c r="H382" s="19"/>
      <c r="I382" s="23" t="s">
        <v>27</v>
      </c>
      <c r="J382" s="19" t="s">
        <v>372</v>
      </c>
    </row>
    <row r="383" customFormat="false" ht="15" hidden="false" customHeight="false" outlineLevel="0" collapsed="false">
      <c r="A383" s="19" t="s">
        <v>246</v>
      </c>
      <c r="B383" s="19" t="s">
        <v>138</v>
      </c>
      <c r="C383" s="19" t="s">
        <v>367</v>
      </c>
      <c r="D383" s="19" t="s">
        <v>716</v>
      </c>
      <c r="E383" s="22" t="n">
        <v>877</v>
      </c>
      <c r="F383" s="19"/>
      <c r="G383" s="22" t="n">
        <v>11</v>
      </c>
      <c r="H383" s="19"/>
      <c r="I383" s="23" t="s">
        <v>27</v>
      </c>
      <c r="J383" s="19" t="s">
        <v>372</v>
      </c>
    </row>
    <row r="384" customFormat="false" ht="15" hidden="false" customHeight="false" outlineLevel="0" collapsed="false">
      <c r="A384" s="19" t="s">
        <v>246</v>
      </c>
      <c r="B384" s="19" t="s">
        <v>244</v>
      </c>
      <c r="C384" s="19" t="s">
        <v>365</v>
      </c>
      <c r="D384" s="19" t="s">
        <v>717</v>
      </c>
      <c r="E384" s="22" t="n">
        <v>2027</v>
      </c>
      <c r="F384" s="19" t="n">
        <v>13.75</v>
      </c>
      <c r="G384" s="22" t="n">
        <v>11</v>
      </c>
      <c r="H384" s="19"/>
      <c r="I384" s="23" t="s">
        <v>27</v>
      </c>
      <c r="J384" s="19" t="s">
        <v>323</v>
      </c>
    </row>
    <row r="385" customFormat="false" ht="15" hidden="false" customHeight="false" outlineLevel="0" collapsed="false">
      <c r="A385" s="19" t="s">
        <v>246</v>
      </c>
      <c r="B385" s="19" t="s">
        <v>138</v>
      </c>
      <c r="C385" s="19" t="s">
        <v>367</v>
      </c>
      <c r="D385" s="19" t="s">
        <v>718</v>
      </c>
      <c r="E385" s="22" t="n">
        <v>3710</v>
      </c>
      <c r="F385" s="19" t="n">
        <v>14.73</v>
      </c>
      <c r="G385" s="22" t="n">
        <v>11</v>
      </c>
      <c r="H385" s="19" t="n">
        <v>4.9</v>
      </c>
      <c r="I385" s="23" t="s">
        <v>27</v>
      </c>
      <c r="J385" s="19" t="s">
        <v>326</v>
      </c>
    </row>
    <row r="386" customFormat="false" ht="15" hidden="false" customHeight="false" outlineLevel="0" collapsed="false">
      <c r="A386" s="19" t="s">
        <v>246</v>
      </c>
      <c r="B386" s="19" t="s">
        <v>138</v>
      </c>
      <c r="C386" s="19" t="s">
        <v>367</v>
      </c>
      <c r="D386" s="19" t="s">
        <v>719</v>
      </c>
      <c r="E386" s="22" t="n">
        <v>2022</v>
      </c>
      <c r="F386" s="19" t="n">
        <v>17.56</v>
      </c>
      <c r="G386" s="22" t="n">
        <v>11</v>
      </c>
      <c r="H386" s="19" t="n">
        <v>4.5</v>
      </c>
      <c r="I386" s="23" t="s">
        <v>27</v>
      </c>
      <c r="J386" s="19" t="s">
        <v>326</v>
      </c>
    </row>
    <row r="387" customFormat="false" ht="15" hidden="false" customHeight="false" outlineLevel="0" collapsed="false">
      <c r="A387" s="19" t="s">
        <v>246</v>
      </c>
      <c r="B387" s="19" t="s">
        <v>263</v>
      </c>
      <c r="C387" s="19" t="s">
        <v>365</v>
      </c>
      <c r="D387" s="19" t="s">
        <v>720</v>
      </c>
      <c r="E387" s="22" t="n">
        <v>1552</v>
      </c>
      <c r="F387" s="19" t="n">
        <v>1.09</v>
      </c>
      <c r="G387" s="22" t="n">
        <v>11</v>
      </c>
      <c r="H387" s="19"/>
      <c r="I387" s="23" t="s">
        <v>27</v>
      </c>
      <c r="J387" s="19" t="s">
        <v>351</v>
      </c>
    </row>
    <row r="388" customFormat="false" ht="15" hidden="false" customHeight="false" outlineLevel="0" collapsed="false">
      <c r="A388" s="19" t="s">
        <v>249</v>
      </c>
      <c r="B388" s="19" t="s">
        <v>315</v>
      </c>
      <c r="C388" s="19" t="s">
        <v>316</v>
      </c>
      <c r="D388" s="19" t="s">
        <v>721</v>
      </c>
      <c r="E388" s="22" t="n">
        <v>1016</v>
      </c>
      <c r="F388" s="19"/>
      <c r="G388" s="22" t="n">
        <v>11</v>
      </c>
      <c r="H388" s="19"/>
      <c r="I388" s="23" t="s">
        <v>27</v>
      </c>
      <c r="J388" s="19" t="s">
        <v>428</v>
      </c>
    </row>
    <row r="389" customFormat="false" ht="15" hidden="false" customHeight="false" outlineLevel="0" collapsed="false">
      <c r="A389" s="19" t="s">
        <v>246</v>
      </c>
      <c r="B389" s="19" t="s">
        <v>254</v>
      </c>
      <c r="C389" s="19" t="s">
        <v>365</v>
      </c>
      <c r="D389" s="19" t="s">
        <v>722</v>
      </c>
      <c r="E389" s="22" t="n">
        <v>1247</v>
      </c>
      <c r="F389" s="19"/>
      <c r="G389" s="22" t="n">
        <v>11</v>
      </c>
      <c r="H389" s="19"/>
      <c r="I389" s="23" t="s">
        <v>27</v>
      </c>
      <c r="J389" s="19" t="s">
        <v>388</v>
      </c>
    </row>
    <row r="390" customFormat="false" ht="15" hidden="false" customHeight="false" outlineLevel="0" collapsed="false">
      <c r="A390" s="19" t="s">
        <v>249</v>
      </c>
      <c r="B390" s="19" t="s">
        <v>138</v>
      </c>
      <c r="C390" s="19" t="s">
        <v>319</v>
      </c>
      <c r="D390" s="19" t="s">
        <v>723</v>
      </c>
      <c r="E390" s="22" t="n">
        <v>1996</v>
      </c>
      <c r="F390" s="19"/>
      <c r="G390" s="22" t="n">
        <v>11</v>
      </c>
      <c r="H390" s="19" t="n">
        <v>4.5</v>
      </c>
      <c r="I390" s="23" t="s">
        <v>27</v>
      </c>
      <c r="J390" s="19" t="s">
        <v>330</v>
      </c>
    </row>
    <row r="391" customFormat="false" ht="15" hidden="false" customHeight="false" outlineLevel="0" collapsed="false">
      <c r="A391" s="19" t="s">
        <v>252</v>
      </c>
      <c r="B391" s="19" t="s">
        <v>138</v>
      </c>
      <c r="C391" s="19" t="s">
        <v>446</v>
      </c>
      <c r="D391" s="19" t="s">
        <v>724</v>
      </c>
      <c r="E391" s="22" t="n">
        <v>694</v>
      </c>
      <c r="F391" s="19"/>
      <c r="G391" s="22" t="n">
        <v>10</v>
      </c>
      <c r="H391" s="19"/>
      <c r="I391" s="23" t="s">
        <v>27</v>
      </c>
      <c r="J391" s="19" t="s">
        <v>318</v>
      </c>
    </row>
    <row r="392" customFormat="false" ht="15" hidden="false" customHeight="false" outlineLevel="0" collapsed="false">
      <c r="A392" s="19" t="s">
        <v>252</v>
      </c>
      <c r="B392" s="19" t="s">
        <v>277</v>
      </c>
      <c r="C392" s="19" t="s">
        <v>365</v>
      </c>
      <c r="D392" s="19" t="s">
        <v>725</v>
      </c>
      <c r="E392" s="22" t="n">
        <v>525</v>
      </c>
      <c r="F392" s="19"/>
      <c r="G392" s="22" t="n">
        <v>10</v>
      </c>
      <c r="H392" s="19"/>
      <c r="I392" s="23" t="s">
        <v>27</v>
      </c>
      <c r="J392" s="19" t="s">
        <v>414</v>
      </c>
    </row>
    <row r="393" customFormat="false" ht="15" hidden="false" customHeight="false" outlineLevel="0" collapsed="false">
      <c r="A393" s="19" t="s">
        <v>252</v>
      </c>
      <c r="B393" s="19" t="s">
        <v>138</v>
      </c>
      <c r="C393" s="19" t="s">
        <v>319</v>
      </c>
      <c r="D393" s="19" t="s">
        <v>726</v>
      </c>
      <c r="E393" s="22" t="n">
        <v>895</v>
      </c>
      <c r="F393" s="19" t="n">
        <v>1.09</v>
      </c>
      <c r="G393" s="22" t="n">
        <v>10</v>
      </c>
      <c r="H393" s="19"/>
      <c r="I393" s="23" t="s">
        <v>27</v>
      </c>
      <c r="J393" s="19" t="s">
        <v>339</v>
      </c>
    </row>
    <row r="394" customFormat="false" ht="15" hidden="false" customHeight="false" outlineLevel="0" collapsed="false">
      <c r="A394" s="19" t="s">
        <v>246</v>
      </c>
      <c r="B394" s="19" t="s">
        <v>138</v>
      </c>
      <c r="C394" s="19" t="s">
        <v>446</v>
      </c>
      <c r="D394" s="19" t="s">
        <v>727</v>
      </c>
      <c r="E394" s="22" t="n">
        <v>877</v>
      </c>
      <c r="F394" s="19" t="n">
        <v>1.09</v>
      </c>
      <c r="G394" s="22" t="n">
        <v>10</v>
      </c>
      <c r="H394" s="19" t="n">
        <v>4.5</v>
      </c>
      <c r="I394" s="23" t="s">
        <v>27</v>
      </c>
      <c r="J394" s="19" t="s">
        <v>372</v>
      </c>
    </row>
    <row r="395" customFormat="false" ht="15" hidden="false" customHeight="false" outlineLevel="0" collapsed="false">
      <c r="A395" s="19" t="s">
        <v>246</v>
      </c>
      <c r="B395" s="19" t="s">
        <v>244</v>
      </c>
      <c r="C395" s="19" t="s">
        <v>365</v>
      </c>
      <c r="D395" s="19" t="s">
        <v>728</v>
      </c>
      <c r="E395" s="22" t="n">
        <v>989</v>
      </c>
      <c r="F395" s="19"/>
      <c r="G395" s="22" t="n">
        <v>10</v>
      </c>
      <c r="H395" s="19"/>
      <c r="I395" s="23" t="s">
        <v>27</v>
      </c>
      <c r="J395" s="19" t="s">
        <v>372</v>
      </c>
    </row>
    <row r="396" customFormat="false" ht="15" hidden="false" customHeight="false" outlineLevel="0" collapsed="false">
      <c r="A396" s="19" t="s">
        <v>332</v>
      </c>
      <c r="B396" s="19" t="s">
        <v>254</v>
      </c>
      <c r="C396" s="19" t="s">
        <v>365</v>
      </c>
      <c r="D396" s="19" t="s">
        <v>729</v>
      </c>
      <c r="E396" s="22" t="n">
        <v>1312</v>
      </c>
      <c r="F396" s="19"/>
      <c r="G396" s="22" t="n">
        <v>10</v>
      </c>
      <c r="H396" s="19" t="n">
        <v>4.3</v>
      </c>
      <c r="I396" s="23" t="s">
        <v>27</v>
      </c>
      <c r="J396" s="19" t="s">
        <v>372</v>
      </c>
    </row>
    <row r="397" customFormat="false" ht="15" hidden="false" customHeight="false" outlineLevel="0" collapsed="false">
      <c r="A397" s="19" t="s">
        <v>246</v>
      </c>
      <c r="B397" s="19" t="s">
        <v>138</v>
      </c>
      <c r="C397" s="19" t="s">
        <v>367</v>
      </c>
      <c r="D397" s="19" t="s">
        <v>730</v>
      </c>
      <c r="E397" s="22" t="n">
        <v>189</v>
      </c>
      <c r="F397" s="19"/>
      <c r="G397" s="22" t="n">
        <v>10</v>
      </c>
      <c r="H397" s="19"/>
      <c r="I397" s="23" t="s">
        <v>27</v>
      </c>
      <c r="J397" s="19" t="s">
        <v>351</v>
      </c>
    </row>
    <row r="398" customFormat="false" ht="15" hidden="false" customHeight="false" outlineLevel="0" collapsed="false">
      <c r="A398" s="19" t="s">
        <v>246</v>
      </c>
      <c r="B398" s="19" t="s">
        <v>267</v>
      </c>
      <c r="C398" s="19" t="s">
        <v>365</v>
      </c>
      <c r="D398" s="19" t="s">
        <v>731</v>
      </c>
      <c r="E398" s="22" t="n">
        <v>706</v>
      </c>
      <c r="F398" s="19"/>
      <c r="G398" s="22" t="n">
        <v>10</v>
      </c>
      <c r="H398" s="19"/>
      <c r="I398" s="23" t="s">
        <v>27</v>
      </c>
      <c r="J398" s="19" t="s">
        <v>430</v>
      </c>
    </row>
    <row r="399" customFormat="false" ht="15" hidden="false" customHeight="false" outlineLevel="0" collapsed="false">
      <c r="A399" s="19" t="s">
        <v>249</v>
      </c>
      <c r="B399" s="19" t="s">
        <v>138</v>
      </c>
      <c r="C399" s="19" t="s">
        <v>446</v>
      </c>
      <c r="D399" s="19" t="s">
        <v>732</v>
      </c>
      <c r="E399" s="22" t="n">
        <v>1016</v>
      </c>
      <c r="F399" s="19"/>
      <c r="G399" s="22" t="n">
        <v>10</v>
      </c>
      <c r="H399" s="19"/>
      <c r="I399" s="23" t="s">
        <v>27</v>
      </c>
      <c r="J399" s="19" t="s">
        <v>428</v>
      </c>
    </row>
    <row r="400" customFormat="false" ht="15" hidden="false" customHeight="false" outlineLevel="0" collapsed="false">
      <c r="A400" s="19" t="s">
        <v>249</v>
      </c>
      <c r="B400" s="19" t="s">
        <v>244</v>
      </c>
      <c r="C400" s="19" t="s">
        <v>365</v>
      </c>
      <c r="D400" s="19" t="s">
        <v>733</v>
      </c>
      <c r="E400" s="22" t="n">
        <v>2709</v>
      </c>
      <c r="F400" s="19"/>
      <c r="G400" s="22" t="n">
        <v>10</v>
      </c>
      <c r="H400" s="19"/>
      <c r="I400" s="23" t="s">
        <v>27</v>
      </c>
      <c r="J400" s="19" t="s">
        <v>539</v>
      </c>
    </row>
    <row r="401" customFormat="false" ht="15" hidden="false" customHeight="false" outlineLevel="0" collapsed="false">
      <c r="A401" s="19" t="s">
        <v>246</v>
      </c>
      <c r="B401" s="19" t="s">
        <v>315</v>
      </c>
      <c r="C401" s="19" t="s">
        <v>316</v>
      </c>
      <c r="D401" s="19" t="s">
        <v>734</v>
      </c>
      <c r="E401" s="22" t="n">
        <v>1137</v>
      </c>
      <c r="F401" s="19" t="n">
        <v>6.37</v>
      </c>
      <c r="G401" s="22" t="n">
        <v>10</v>
      </c>
      <c r="H401" s="19" t="n">
        <v>4.5</v>
      </c>
      <c r="I401" s="23" t="s">
        <v>27</v>
      </c>
      <c r="J401" s="19" t="s">
        <v>388</v>
      </c>
    </row>
    <row r="402" customFormat="false" ht="15" hidden="false" customHeight="false" outlineLevel="0" collapsed="false">
      <c r="A402" s="19" t="s">
        <v>252</v>
      </c>
      <c r="B402" s="19" t="s">
        <v>138</v>
      </c>
      <c r="C402" s="19" t="s">
        <v>319</v>
      </c>
      <c r="D402" s="19" t="s">
        <v>735</v>
      </c>
      <c r="E402" s="22" t="n">
        <v>2054</v>
      </c>
      <c r="F402" s="19"/>
      <c r="G402" s="22" t="n">
        <v>10</v>
      </c>
      <c r="H402" s="19"/>
      <c r="I402" s="23" t="s">
        <v>27</v>
      </c>
      <c r="J402" s="19" t="s">
        <v>330</v>
      </c>
    </row>
    <row r="403" customFormat="false" ht="15" hidden="false" customHeight="false" outlineLevel="0" collapsed="false">
      <c r="A403" s="19" t="s">
        <v>252</v>
      </c>
      <c r="B403" s="19" t="s">
        <v>138</v>
      </c>
      <c r="C403" s="19" t="s">
        <v>446</v>
      </c>
      <c r="D403" s="19" t="s">
        <v>736</v>
      </c>
      <c r="E403" s="22" t="n">
        <v>1087</v>
      </c>
      <c r="F403" s="19"/>
      <c r="G403" s="22" t="n">
        <v>9</v>
      </c>
      <c r="H403" s="19"/>
      <c r="I403" s="23" t="s">
        <v>27</v>
      </c>
      <c r="J403" s="19" t="s">
        <v>318</v>
      </c>
    </row>
    <row r="404" customFormat="false" ht="15" hidden="false" customHeight="false" outlineLevel="0" collapsed="false">
      <c r="A404" s="19" t="s">
        <v>252</v>
      </c>
      <c r="B404" s="19" t="s">
        <v>244</v>
      </c>
      <c r="C404" s="19" t="s">
        <v>365</v>
      </c>
      <c r="D404" s="19" t="s">
        <v>737</v>
      </c>
      <c r="E404" s="22" t="n">
        <v>850</v>
      </c>
      <c r="F404" s="19" t="n">
        <v>1.09</v>
      </c>
      <c r="G404" s="22" t="n">
        <v>9</v>
      </c>
      <c r="H404" s="19"/>
      <c r="I404" s="23" t="s">
        <v>27</v>
      </c>
      <c r="J404" s="19" t="s">
        <v>414</v>
      </c>
    </row>
    <row r="405" customFormat="false" ht="15" hidden="false" customHeight="false" outlineLevel="0" collapsed="false">
      <c r="A405" s="19" t="s">
        <v>252</v>
      </c>
      <c r="B405" s="19" t="s">
        <v>138</v>
      </c>
      <c r="C405" s="19" t="s">
        <v>319</v>
      </c>
      <c r="D405" s="19" t="s">
        <v>738</v>
      </c>
      <c r="E405" s="22" t="n">
        <v>1505</v>
      </c>
      <c r="F405" s="19"/>
      <c r="G405" s="22" t="n">
        <v>9</v>
      </c>
      <c r="H405" s="19"/>
      <c r="I405" s="23" t="s">
        <v>27</v>
      </c>
      <c r="J405" s="19" t="s">
        <v>390</v>
      </c>
    </row>
    <row r="406" customFormat="false" ht="15" hidden="false" customHeight="false" outlineLevel="0" collapsed="false">
      <c r="A406" s="19" t="s">
        <v>246</v>
      </c>
      <c r="B406" s="19" t="s">
        <v>267</v>
      </c>
      <c r="C406" s="19" t="s">
        <v>365</v>
      </c>
      <c r="D406" s="19" t="s">
        <v>739</v>
      </c>
      <c r="E406" s="22" t="n">
        <v>309</v>
      </c>
      <c r="F406" s="19"/>
      <c r="G406" s="22" t="n">
        <v>9</v>
      </c>
      <c r="H406" s="19"/>
      <c r="I406" s="23" t="s">
        <v>27</v>
      </c>
      <c r="J406" s="19" t="s">
        <v>479</v>
      </c>
    </row>
    <row r="407" customFormat="false" ht="15" hidden="false" customHeight="false" outlineLevel="0" collapsed="false">
      <c r="A407" s="19" t="s">
        <v>246</v>
      </c>
      <c r="B407" s="19" t="s">
        <v>138</v>
      </c>
      <c r="C407" s="19" t="s">
        <v>446</v>
      </c>
      <c r="D407" s="19" t="s">
        <v>740</v>
      </c>
      <c r="E407" s="22" t="n">
        <v>1018</v>
      </c>
      <c r="F407" s="19" t="n">
        <v>6.09</v>
      </c>
      <c r="G407" s="22" t="n">
        <v>9</v>
      </c>
      <c r="H407" s="19"/>
      <c r="I407" s="23" t="s">
        <v>27</v>
      </c>
      <c r="J407" s="19" t="s">
        <v>422</v>
      </c>
    </row>
    <row r="408" customFormat="false" ht="15" hidden="false" customHeight="false" outlineLevel="0" collapsed="false">
      <c r="A408" s="19" t="s">
        <v>246</v>
      </c>
      <c r="B408" s="19" t="s">
        <v>138</v>
      </c>
      <c r="C408" s="19" t="s">
        <v>446</v>
      </c>
      <c r="D408" s="19" t="s">
        <v>741</v>
      </c>
      <c r="E408" s="22" t="n">
        <v>806</v>
      </c>
      <c r="F408" s="19"/>
      <c r="G408" s="22" t="n">
        <v>9</v>
      </c>
      <c r="H408" s="19"/>
      <c r="I408" s="23" t="s">
        <v>27</v>
      </c>
      <c r="J408" s="19" t="s">
        <v>422</v>
      </c>
    </row>
    <row r="409" customFormat="false" ht="15" hidden="false" customHeight="false" outlineLevel="0" collapsed="false">
      <c r="A409" s="19" t="s">
        <v>246</v>
      </c>
      <c r="B409" s="19" t="s">
        <v>277</v>
      </c>
      <c r="C409" s="19" t="s">
        <v>365</v>
      </c>
      <c r="D409" s="19" t="s">
        <v>742</v>
      </c>
      <c r="E409" s="22" t="n">
        <v>1934</v>
      </c>
      <c r="F409" s="19" t="n">
        <v>5.48</v>
      </c>
      <c r="G409" s="22" t="n">
        <v>9</v>
      </c>
      <c r="H409" s="19"/>
      <c r="I409" s="23" t="s">
        <v>27</v>
      </c>
      <c r="J409" s="19" t="s">
        <v>422</v>
      </c>
    </row>
    <row r="410" customFormat="false" ht="15" hidden="false" customHeight="false" outlineLevel="0" collapsed="false">
      <c r="A410" s="19" t="s">
        <v>246</v>
      </c>
      <c r="B410" s="19" t="s">
        <v>244</v>
      </c>
      <c r="C410" s="19" t="s">
        <v>365</v>
      </c>
      <c r="D410" s="19" t="s">
        <v>743</v>
      </c>
      <c r="E410" s="22" t="n">
        <v>2027</v>
      </c>
      <c r="F410" s="19" t="n">
        <v>14.21</v>
      </c>
      <c r="G410" s="22" t="n">
        <v>9</v>
      </c>
      <c r="H410" s="19"/>
      <c r="I410" s="23" t="s">
        <v>27</v>
      </c>
      <c r="J410" s="19" t="s">
        <v>323</v>
      </c>
    </row>
    <row r="411" customFormat="false" ht="15" hidden="false" customHeight="false" outlineLevel="0" collapsed="false">
      <c r="A411" s="19" t="s">
        <v>246</v>
      </c>
      <c r="B411" s="19" t="s">
        <v>138</v>
      </c>
      <c r="C411" s="19" t="s">
        <v>319</v>
      </c>
      <c r="D411" s="19" t="s">
        <v>744</v>
      </c>
      <c r="E411" s="22" t="n">
        <v>1279</v>
      </c>
      <c r="F411" s="19" t="n">
        <v>0.99</v>
      </c>
      <c r="G411" s="22" t="n">
        <v>9</v>
      </c>
      <c r="H411" s="19"/>
      <c r="I411" s="23" t="s">
        <v>27</v>
      </c>
      <c r="J411" s="19" t="s">
        <v>323</v>
      </c>
    </row>
    <row r="412" customFormat="false" ht="15" hidden="false" customHeight="false" outlineLevel="0" collapsed="false">
      <c r="A412" s="19" t="s">
        <v>252</v>
      </c>
      <c r="B412" s="19" t="s">
        <v>138</v>
      </c>
      <c r="C412" s="19" t="s">
        <v>319</v>
      </c>
      <c r="D412" s="19" t="s">
        <v>745</v>
      </c>
      <c r="E412" s="22" t="n">
        <v>733</v>
      </c>
      <c r="F412" s="19"/>
      <c r="G412" s="22" t="n">
        <v>9</v>
      </c>
      <c r="H412" s="19"/>
      <c r="I412" s="23" t="s">
        <v>27</v>
      </c>
      <c r="J412" s="19" t="s">
        <v>345</v>
      </c>
    </row>
    <row r="413" customFormat="false" ht="15" hidden="false" customHeight="false" outlineLevel="0" collapsed="false">
      <c r="A413" s="19" t="s">
        <v>246</v>
      </c>
      <c r="B413" s="19" t="s">
        <v>254</v>
      </c>
      <c r="C413" s="19" t="s">
        <v>365</v>
      </c>
      <c r="D413" s="19" t="s">
        <v>746</v>
      </c>
      <c r="E413" s="22" t="n">
        <v>1594</v>
      </c>
      <c r="F413" s="19" t="n">
        <v>1.95</v>
      </c>
      <c r="G413" s="22" t="n">
        <v>9</v>
      </c>
      <c r="H413" s="19"/>
      <c r="I413" s="23" t="s">
        <v>27</v>
      </c>
      <c r="J413" s="19" t="s">
        <v>388</v>
      </c>
    </row>
    <row r="414" customFormat="false" ht="15" hidden="false" customHeight="false" outlineLevel="0" collapsed="false">
      <c r="A414" s="19" t="s">
        <v>246</v>
      </c>
      <c r="B414" s="19" t="s">
        <v>254</v>
      </c>
      <c r="C414" s="19" t="s">
        <v>365</v>
      </c>
      <c r="D414" s="19" t="s">
        <v>747</v>
      </c>
      <c r="E414" s="22" t="n">
        <v>1678</v>
      </c>
      <c r="F414" s="19" t="n">
        <v>2.04</v>
      </c>
      <c r="G414" s="22" t="n">
        <v>9</v>
      </c>
      <c r="H414" s="19"/>
      <c r="I414" s="23" t="s">
        <v>27</v>
      </c>
      <c r="J414" s="19" t="s">
        <v>388</v>
      </c>
    </row>
    <row r="415" customFormat="false" ht="15" hidden="false" customHeight="false" outlineLevel="0" collapsed="false">
      <c r="A415" s="19" t="s">
        <v>252</v>
      </c>
      <c r="B415" s="19" t="s">
        <v>138</v>
      </c>
      <c r="C415" s="19" t="s">
        <v>530</v>
      </c>
      <c r="D415" s="19" t="s">
        <v>748</v>
      </c>
      <c r="E415" s="22" t="n">
        <v>619</v>
      </c>
      <c r="F415" s="19"/>
      <c r="G415" s="22" t="n">
        <v>8</v>
      </c>
      <c r="H415" s="19"/>
      <c r="I415" s="23" t="s">
        <v>27</v>
      </c>
      <c r="J415" s="19" t="s">
        <v>318</v>
      </c>
    </row>
    <row r="416" customFormat="false" ht="15" hidden="false" customHeight="false" outlineLevel="0" collapsed="false">
      <c r="A416" s="19" t="s">
        <v>252</v>
      </c>
      <c r="B416" s="19" t="s">
        <v>244</v>
      </c>
      <c r="C416" s="19" t="s">
        <v>365</v>
      </c>
      <c r="D416" s="19" t="s">
        <v>749</v>
      </c>
      <c r="E416" s="22" t="n">
        <v>698</v>
      </c>
      <c r="F416" s="19"/>
      <c r="G416" s="22" t="n">
        <v>8</v>
      </c>
      <c r="H416" s="19"/>
      <c r="I416" s="23" t="s">
        <v>27</v>
      </c>
      <c r="J416" s="19" t="s">
        <v>318</v>
      </c>
    </row>
    <row r="417" customFormat="false" ht="15" hidden="false" customHeight="false" outlineLevel="0" collapsed="false">
      <c r="A417" s="19" t="s">
        <v>252</v>
      </c>
      <c r="B417" s="19" t="s">
        <v>244</v>
      </c>
      <c r="C417" s="19" t="s">
        <v>365</v>
      </c>
      <c r="D417" s="19" t="s">
        <v>750</v>
      </c>
      <c r="E417" s="22" t="n">
        <v>1909</v>
      </c>
      <c r="F417" s="19" t="n">
        <v>16.21</v>
      </c>
      <c r="G417" s="22" t="n">
        <v>8</v>
      </c>
      <c r="H417" s="19"/>
      <c r="I417" s="23" t="s">
        <v>27</v>
      </c>
      <c r="J417" s="19" t="s">
        <v>339</v>
      </c>
    </row>
    <row r="418" customFormat="false" ht="15" hidden="false" customHeight="false" outlineLevel="0" collapsed="false">
      <c r="A418" s="19" t="s">
        <v>332</v>
      </c>
      <c r="B418" s="19" t="s">
        <v>272</v>
      </c>
      <c r="C418" s="19" t="s">
        <v>365</v>
      </c>
      <c r="D418" s="19" t="s">
        <v>751</v>
      </c>
      <c r="E418" s="22" t="n">
        <v>1027</v>
      </c>
      <c r="F418" s="19" t="n">
        <v>6.2</v>
      </c>
      <c r="G418" s="22" t="n">
        <v>8</v>
      </c>
      <c r="H418" s="19"/>
      <c r="I418" s="23" t="s">
        <v>27</v>
      </c>
      <c r="J418" s="19" t="s">
        <v>370</v>
      </c>
    </row>
    <row r="419" customFormat="false" ht="15" hidden="false" customHeight="false" outlineLevel="0" collapsed="false">
      <c r="A419" s="19" t="s">
        <v>246</v>
      </c>
      <c r="B419" s="19" t="s">
        <v>138</v>
      </c>
      <c r="C419" s="19" t="s">
        <v>367</v>
      </c>
      <c r="D419" s="19" t="s">
        <v>752</v>
      </c>
      <c r="E419" s="22" t="n">
        <v>1830</v>
      </c>
      <c r="F419" s="19" t="n">
        <v>4.21</v>
      </c>
      <c r="G419" s="22" t="n">
        <v>8</v>
      </c>
      <c r="H419" s="19"/>
      <c r="I419" s="23" t="s">
        <v>27</v>
      </c>
      <c r="J419" s="19" t="s">
        <v>326</v>
      </c>
    </row>
    <row r="420" customFormat="false" ht="15" hidden="false" customHeight="false" outlineLevel="0" collapsed="false">
      <c r="A420" s="19" t="s">
        <v>246</v>
      </c>
      <c r="B420" s="19" t="s">
        <v>254</v>
      </c>
      <c r="C420" s="19" t="s">
        <v>365</v>
      </c>
      <c r="D420" s="19" t="s">
        <v>753</v>
      </c>
      <c r="E420" s="22" t="n">
        <v>1664</v>
      </c>
      <c r="F420" s="19" t="n">
        <v>1.37</v>
      </c>
      <c r="G420" s="22" t="n">
        <v>8</v>
      </c>
      <c r="H420" s="19"/>
      <c r="I420" s="23" t="s">
        <v>27</v>
      </c>
      <c r="J420" s="19" t="s">
        <v>351</v>
      </c>
    </row>
    <row r="421" customFormat="false" ht="15" hidden="false" customHeight="false" outlineLevel="0" collapsed="false">
      <c r="A421" s="19" t="s">
        <v>249</v>
      </c>
      <c r="B421" s="19" t="s">
        <v>244</v>
      </c>
      <c r="C421" s="19" t="s">
        <v>365</v>
      </c>
      <c r="D421" s="19" t="s">
        <v>754</v>
      </c>
      <c r="E421" s="22" t="n">
        <v>1740</v>
      </c>
      <c r="F421" s="19"/>
      <c r="G421" s="22" t="n">
        <v>8</v>
      </c>
      <c r="H421" s="19" t="n">
        <v>2.3</v>
      </c>
      <c r="I421" s="23" t="s">
        <v>27</v>
      </c>
      <c r="J421" s="19" t="s">
        <v>428</v>
      </c>
    </row>
    <row r="422" customFormat="false" ht="15" hidden="false" customHeight="false" outlineLevel="0" collapsed="false">
      <c r="A422" s="19" t="s">
        <v>249</v>
      </c>
      <c r="B422" s="19" t="s">
        <v>138</v>
      </c>
      <c r="C422" s="19" t="s">
        <v>367</v>
      </c>
      <c r="D422" s="19" t="s">
        <v>755</v>
      </c>
      <c r="E422" s="22" t="n">
        <v>1099</v>
      </c>
      <c r="F422" s="19" t="n">
        <v>5.05</v>
      </c>
      <c r="G422" s="22" t="n">
        <v>8</v>
      </c>
      <c r="H422" s="19"/>
      <c r="I422" s="23" t="s">
        <v>27</v>
      </c>
      <c r="J422" s="19" t="s">
        <v>428</v>
      </c>
    </row>
    <row r="423" customFormat="false" ht="15" hidden="false" customHeight="false" outlineLevel="0" collapsed="false">
      <c r="A423" s="19" t="s">
        <v>249</v>
      </c>
      <c r="B423" s="19" t="s">
        <v>254</v>
      </c>
      <c r="C423" s="19" t="s">
        <v>365</v>
      </c>
      <c r="D423" s="19" t="s">
        <v>756</v>
      </c>
      <c r="E423" s="22" t="n">
        <v>1662</v>
      </c>
      <c r="F423" s="19"/>
      <c r="G423" s="22" t="n">
        <v>8</v>
      </c>
      <c r="H423" s="19"/>
      <c r="I423" s="23" t="s">
        <v>27</v>
      </c>
      <c r="J423" s="19" t="s">
        <v>539</v>
      </c>
    </row>
    <row r="424" customFormat="false" ht="15" hidden="false" customHeight="false" outlineLevel="0" collapsed="false">
      <c r="A424" s="19" t="s">
        <v>249</v>
      </c>
      <c r="B424" s="19" t="s">
        <v>138</v>
      </c>
      <c r="C424" s="19" t="s">
        <v>446</v>
      </c>
      <c r="D424" s="19" t="s">
        <v>757</v>
      </c>
      <c r="E424" s="22" t="n">
        <v>250</v>
      </c>
      <c r="F424" s="19"/>
      <c r="G424" s="22" t="n">
        <v>8</v>
      </c>
      <c r="H424" s="19"/>
      <c r="I424" s="23" t="s">
        <v>27</v>
      </c>
      <c r="J424" s="19" t="s">
        <v>539</v>
      </c>
    </row>
    <row r="425" customFormat="false" ht="15" hidden="false" customHeight="false" outlineLevel="0" collapsed="false">
      <c r="A425" s="19" t="s">
        <v>252</v>
      </c>
      <c r="B425" s="19" t="s">
        <v>138</v>
      </c>
      <c r="C425" s="19" t="s">
        <v>319</v>
      </c>
      <c r="D425" s="19" t="s">
        <v>758</v>
      </c>
      <c r="E425" s="22" t="n">
        <v>938</v>
      </c>
      <c r="F425" s="19" t="n">
        <v>1.09</v>
      </c>
      <c r="G425" s="22" t="n">
        <v>8</v>
      </c>
      <c r="H425" s="19"/>
      <c r="I425" s="23" t="s">
        <v>27</v>
      </c>
      <c r="J425" s="19" t="s">
        <v>345</v>
      </c>
    </row>
    <row r="426" customFormat="false" ht="15" hidden="false" customHeight="false" outlineLevel="0" collapsed="false">
      <c r="A426" s="19" t="s">
        <v>252</v>
      </c>
      <c r="B426" s="19" t="s">
        <v>138</v>
      </c>
      <c r="C426" s="19" t="s">
        <v>530</v>
      </c>
      <c r="D426" s="19" t="s">
        <v>759</v>
      </c>
      <c r="E426" s="22" t="n">
        <v>678</v>
      </c>
      <c r="F426" s="19"/>
      <c r="G426" s="22" t="n">
        <v>7</v>
      </c>
      <c r="H426" s="19"/>
      <c r="I426" s="23" t="s">
        <v>27</v>
      </c>
      <c r="J426" s="19" t="s">
        <v>318</v>
      </c>
    </row>
    <row r="427" customFormat="false" ht="15" hidden="false" customHeight="false" outlineLevel="0" collapsed="false">
      <c r="A427" s="19" t="s">
        <v>252</v>
      </c>
      <c r="B427" s="19" t="s">
        <v>138</v>
      </c>
      <c r="C427" s="19" t="s">
        <v>446</v>
      </c>
      <c r="D427" s="19" t="s">
        <v>760</v>
      </c>
      <c r="E427" s="22" t="n">
        <v>762</v>
      </c>
      <c r="F427" s="19"/>
      <c r="G427" s="22" t="n">
        <v>7</v>
      </c>
      <c r="H427" s="19"/>
      <c r="I427" s="23" t="s">
        <v>27</v>
      </c>
      <c r="J427" s="19" t="s">
        <v>318</v>
      </c>
    </row>
    <row r="428" customFormat="false" ht="15" hidden="false" customHeight="false" outlineLevel="0" collapsed="false">
      <c r="A428" s="19" t="s">
        <v>252</v>
      </c>
      <c r="B428" s="19" t="s">
        <v>138</v>
      </c>
      <c r="C428" s="19" t="s">
        <v>530</v>
      </c>
      <c r="D428" s="19" t="s">
        <v>761</v>
      </c>
      <c r="E428" s="22" t="n">
        <v>583</v>
      </c>
      <c r="F428" s="19"/>
      <c r="G428" s="22" t="n">
        <v>7</v>
      </c>
      <c r="H428" s="19"/>
      <c r="I428" s="23" t="s">
        <v>27</v>
      </c>
      <c r="J428" s="19" t="s">
        <v>318</v>
      </c>
    </row>
    <row r="429" customFormat="false" ht="15" hidden="false" customHeight="false" outlineLevel="0" collapsed="false">
      <c r="A429" s="19" t="s">
        <v>246</v>
      </c>
      <c r="B429" s="19" t="s">
        <v>244</v>
      </c>
      <c r="C429" s="19" t="s">
        <v>365</v>
      </c>
      <c r="D429" s="19" t="s">
        <v>762</v>
      </c>
      <c r="E429" s="22" t="n">
        <v>913</v>
      </c>
      <c r="F429" s="19"/>
      <c r="G429" s="22" t="n">
        <v>7</v>
      </c>
      <c r="H429" s="19"/>
      <c r="I429" s="23" t="s">
        <v>27</v>
      </c>
      <c r="J429" s="19" t="s">
        <v>372</v>
      </c>
    </row>
    <row r="430" customFormat="false" ht="15" hidden="false" customHeight="false" outlineLevel="0" collapsed="false">
      <c r="A430" s="19" t="s">
        <v>246</v>
      </c>
      <c r="B430" s="19" t="s">
        <v>138</v>
      </c>
      <c r="C430" s="19" t="s">
        <v>367</v>
      </c>
      <c r="D430" s="19" t="s">
        <v>763</v>
      </c>
      <c r="E430" s="22" t="n">
        <v>1868</v>
      </c>
      <c r="F430" s="19" t="n">
        <v>5.43</v>
      </c>
      <c r="G430" s="22" t="n">
        <v>7</v>
      </c>
      <c r="H430" s="19"/>
      <c r="I430" s="23" t="s">
        <v>27</v>
      </c>
      <c r="J430" s="19" t="s">
        <v>422</v>
      </c>
    </row>
    <row r="431" customFormat="false" ht="15" hidden="false" customHeight="false" outlineLevel="0" collapsed="false">
      <c r="A431" s="19" t="s">
        <v>246</v>
      </c>
      <c r="B431" s="19" t="s">
        <v>138</v>
      </c>
      <c r="C431" s="19" t="s">
        <v>367</v>
      </c>
      <c r="D431" s="19" t="s">
        <v>764</v>
      </c>
      <c r="E431" s="22" t="n">
        <v>388</v>
      </c>
      <c r="F431" s="19"/>
      <c r="G431" s="22" t="n">
        <v>7</v>
      </c>
      <c r="H431" s="19"/>
      <c r="I431" s="23" t="s">
        <v>27</v>
      </c>
      <c r="J431" s="19" t="s">
        <v>351</v>
      </c>
    </row>
    <row r="432" customFormat="false" ht="15" hidden="false" customHeight="false" outlineLevel="0" collapsed="false">
      <c r="A432" s="19" t="s">
        <v>249</v>
      </c>
      <c r="B432" s="19" t="s">
        <v>315</v>
      </c>
      <c r="C432" s="19" t="s">
        <v>316</v>
      </c>
      <c r="D432" s="19" t="s">
        <v>765</v>
      </c>
      <c r="E432" s="22" t="n">
        <v>1010</v>
      </c>
      <c r="F432" s="19"/>
      <c r="G432" s="22" t="n">
        <v>7</v>
      </c>
      <c r="H432" s="19"/>
      <c r="I432" s="23" t="s">
        <v>27</v>
      </c>
      <c r="J432" s="19" t="s">
        <v>428</v>
      </c>
    </row>
    <row r="433" customFormat="false" ht="15" hidden="false" customHeight="false" outlineLevel="0" collapsed="false">
      <c r="A433" s="19" t="s">
        <v>249</v>
      </c>
      <c r="B433" s="19" t="s">
        <v>244</v>
      </c>
      <c r="C433" s="19" t="s">
        <v>365</v>
      </c>
      <c r="D433" s="19" t="s">
        <v>766</v>
      </c>
      <c r="E433" s="22" t="n">
        <v>3070</v>
      </c>
      <c r="F433" s="19"/>
      <c r="G433" s="22" t="n">
        <v>7</v>
      </c>
      <c r="H433" s="19"/>
      <c r="I433" s="23" t="s">
        <v>27</v>
      </c>
      <c r="J433" s="19" t="s">
        <v>539</v>
      </c>
    </row>
    <row r="434" customFormat="false" ht="15" hidden="false" customHeight="false" outlineLevel="0" collapsed="false">
      <c r="A434" s="19" t="s">
        <v>246</v>
      </c>
      <c r="B434" s="19" t="s">
        <v>138</v>
      </c>
      <c r="C434" s="19" t="s">
        <v>319</v>
      </c>
      <c r="D434" s="19" t="s">
        <v>767</v>
      </c>
      <c r="E434" s="22" t="n">
        <v>1674</v>
      </c>
      <c r="F434" s="19" t="n">
        <v>4.15</v>
      </c>
      <c r="G434" s="22" t="n">
        <v>7</v>
      </c>
      <c r="H434" s="19"/>
      <c r="I434" s="23" t="s">
        <v>27</v>
      </c>
      <c r="J434" s="19" t="s">
        <v>321</v>
      </c>
    </row>
    <row r="435" customFormat="false" ht="15" hidden="false" customHeight="false" outlineLevel="0" collapsed="false">
      <c r="A435" s="19" t="s">
        <v>252</v>
      </c>
      <c r="B435" s="19" t="s">
        <v>315</v>
      </c>
      <c r="C435" s="19" t="s">
        <v>316</v>
      </c>
      <c r="D435" s="19" t="s">
        <v>768</v>
      </c>
      <c r="E435" s="22" t="n">
        <v>669</v>
      </c>
      <c r="F435" s="19"/>
      <c r="G435" s="22" t="n">
        <v>6</v>
      </c>
      <c r="H435" s="19" t="n">
        <v>4.5</v>
      </c>
      <c r="I435" s="23" t="s">
        <v>27</v>
      </c>
      <c r="J435" s="19" t="s">
        <v>318</v>
      </c>
    </row>
    <row r="436" customFormat="false" ht="15" hidden="false" customHeight="false" outlineLevel="0" collapsed="false">
      <c r="A436" s="19" t="s">
        <v>252</v>
      </c>
      <c r="B436" s="19" t="s">
        <v>769</v>
      </c>
      <c r="C436" s="19" t="s">
        <v>365</v>
      </c>
      <c r="D436" s="19" t="s">
        <v>770</v>
      </c>
      <c r="E436" s="22" t="n">
        <v>793</v>
      </c>
      <c r="F436" s="19"/>
      <c r="G436" s="22" t="n">
        <v>6</v>
      </c>
      <c r="H436" s="19"/>
      <c r="I436" s="23" t="s">
        <v>27</v>
      </c>
      <c r="J436" s="19" t="s">
        <v>318</v>
      </c>
    </row>
    <row r="437" customFormat="false" ht="15" hidden="false" customHeight="false" outlineLevel="0" collapsed="false">
      <c r="A437" s="19" t="s">
        <v>252</v>
      </c>
      <c r="B437" s="19" t="s">
        <v>244</v>
      </c>
      <c r="C437" s="19" t="s">
        <v>365</v>
      </c>
      <c r="D437" s="19" t="s">
        <v>771</v>
      </c>
      <c r="E437" s="22" t="n">
        <v>301</v>
      </c>
      <c r="F437" s="19"/>
      <c r="G437" s="22" t="n">
        <v>6</v>
      </c>
      <c r="H437" s="19"/>
      <c r="I437" s="23" t="s">
        <v>27</v>
      </c>
      <c r="J437" s="19" t="s">
        <v>318</v>
      </c>
    </row>
    <row r="438" customFormat="false" ht="15" hidden="false" customHeight="false" outlineLevel="0" collapsed="false">
      <c r="A438" s="19" t="s">
        <v>252</v>
      </c>
      <c r="B438" s="19" t="s">
        <v>138</v>
      </c>
      <c r="C438" s="19" t="s">
        <v>530</v>
      </c>
      <c r="D438" s="19" t="s">
        <v>772</v>
      </c>
      <c r="E438" s="22" t="n">
        <v>806</v>
      </c>
      <c r="F438" s="19"/>
      <c r="G438" s="22" t="n">
        <v>6</v>
      </c>
      <c r="H438" s="19"/>
      <c r="I438" s="23" t="s">
        <v>27</v>
      </c>
      <c r="J438" s="19" t="s">
        <v>318</v>
      </c>
    </row>
    <row r="439" customFormat="false" ht="15" hidden="false" customHeight="false" outlineLevel="0" collapsed="false">
      <c r="A439" s="19" t="s">
        <v>252</v>
      </c>
      <c r="B439" s="19" t="s">
        <v>138</v>
      </c>
      <c r="C439" s="19" t="s">
        <v>446</v>
      </c>
      <c r="D439" s="19" t="s">
        <v>773</v>
      </c>
      <c r="E439" s="22" t="n">
        <v>567</v>
      </c>
      <c r="F439" s="19" t="n">
        <v>1.09</v>
      </c>
      <c r="G439" s="22" t="n">
        <v>6</v>
      </c>
      <c r="H439" s="19"/>
      <c r="I439" s="23" t="s">
        <v>27</v>
      </c>
      <c r="J439" s="19" t="s">
        <v>414</v>
      </c>
    </row>
    <row r="440" customFormat="false" ht="15" hidden="false" customHeight="false" outlineLevel="0" collapsed="false">
      <c r="A440" s="19" t="s">
        <v>252</v>
      </c>
      <c r="B440" s="19" t="s">
        <v>267</v>
      </c>
      <c r="C440" s="19" t="s">
        <v>365</v>
      </c>
      <c r="D440" s="19" t="s">
        <v>774</v>
      </c>
      <c r="E440" s="22" t="n">
        <v>882</v>
      </c>
      <c r="F440" s="19"/>
      <c r="G440" s="22" t="n">
        <v>6</v>
      </c>
      <c r="H440" s="19"/>
      <c r="I440" s="23" t="s">
        <v>27</v>
      </c>
      <c r="J440" s="19" t="s">
        <v>479</v>
      </c>
    </row>
    <row r="441" customFormat="false" ht="15" hidden="false" customHeight="false" outlineLevel="0" collapsed="false">
      <c r="A441" s="19" t="s">
        <v>252</v>
      </c>
      <c r="B441" s="19" t="s">
        <v>267</v>
      </c>
      <c r="C441" s="19" t="s">
        <v>365</v>
      </c>
      <c r="D441" s="19" t="s">
        <v>775</v>
      </c>
      <c r="E441" s="22" t="n">
        <v>866</v>
      </c>
      <c r="F441" s="19"/>
      <c r="G441" s="22" t="n">
        <v>6</v>
      </c>
      <c r="H441" s="19"/>
      <c r="I441" s="23" t="s">
        <v>27</v>
      </c>
      <c r="J441" s="19" t="s">
        <v>479</v>
      </c>
    </row>
    <row r="442" customFormat="false" ht="15" hidden="false" customHeight="false" outlineLevel="0" collapsed="false">
      <c r="A442" s="19" t="s">
        <v>252</v>
      </c>
      <c r="B442" s="19" t="s">
        <v>272</v>
      </c>
      <c r="C442" s="19" t="s">
        <v>365</v>
      </c>
      <c r="D442" s="19" t="s">
        <v>776</v>
      </c>
      <c r="E442" s="22" t="n">
        <v>1761</v>
      </c>
      <c r="F442" s="19" t="n">
        <v>14.91</v>
      </c>
      <c r="G442" s="22" t="n">
        <v>6</v>
      </c>
      <c r="H442" s="19" t="n">
        <v>2.5</v>
      </c>
      <c r="I442" s="23" t="s">
        <v>27</v>
      </c>
      <c r="J442" s="19" t="s">
        <v>370</v>
      </c>
    </row>
    <row r="443" customFormat="false" ht="15" hidden="false" customHeight="false" outlineLevel="0" collapsed="false">
      <c r="A443" s="19" t="s">
        <v>246</v>
      </c>
      <c r="B443" s="19" t="s">
        <v>254</v>
      </c>
      <c r="C443" s="19" t="s">
        <v>365</v>
      </c>
      <c r="D443" s="19" t="s">
        <v>777</v>
      </c>
      <c r="E443" s="22" t="n">
        <v>834</v>
      </c>
      <c r="F443" s="19"/>
      <c r="G443" s="22" t="n">
        <v>6</v>
      </c>
      <c r="H443" s="19" t="n">
        <v>4.5</v>
      </c>
      <c r="I443" s="23" t="s">
        <v>27</v>
      </c>
      <c r="J443" s="19" t="s">
        <v>351</v>
      </c>
    </row>
    <row r="444" customFormat="false" ht="15" hidden="false" customHeight="false" outlineLevel="0" collapsed="false">
      <c r="A444" s="19" t="s">
        <v>246</v>
      </c>
      <c r="B444" s="19" t="s">
        <v>254</v>
      </c>
      <c r="C444" s="19" t="s">
        <v>365</v>
      </c>
      <c r="D444" s="19" t="s">
        <v>778</v>
      </c>
      <c r="E444" s="22" t="n">
        <v>1247</v>
      </c>
      <c r="F444" s="19"/>
      <c r="G444" s="22" t="n">
        <v>6</v>
      </c>
      <c r="H444" s="19"/>
      <c r="I444" s="23" t="s">
        <v>27</v>
      </c>
      <c r="J444" s="19" t="s">
        <v>351</v>
      </c>
    </row>
    <row r="445" customFormat="false" ht="15" hidden="false" customHeight="false" outlineLevel="0" collapsed="false">
      <c r="A445" s="19" t="s">
        <v>246</v>
      </c>
      <c r="B445" s="19" t="s">
        <v>138</v>
      </c>
      <c r="C445" s="19" t="s">
        <v>367</v>
      </c>
      <c r="D445" s="19" t="s">
        <v>779</v>
      </c>
      <c r="E445" s="22" t="n">
        <v>400</v>
      </c>
      <c r="F445" s="19"/>
      <c r="G445" s="22" t="n">
        <v>6</v>
      </c>
      <c r="H445" s="19"/>
      <c r="I445" s="23" t="s">
        <v>27</v>
      </c>
      <c r="J445" s="19" t="s">
        <v>351</v>
      </c>
    </row>
    <row r="446" customFormat="false" ht="15" hidden="false" customHeight="false" outlineLevel="0" collapsed="false">
      <c r="A446" s="19" t="s">
        <v>249</v>
      </c>
      <c r="B446" s="19" t="s">
        <v>138</v>
      </c>
      <c r="C446" s="19" t="s">
        <v>446</v>
      </c>
      <c r="D446" s="19" t="s">
        <v>780</v>
      </c>
      <c r="E446" s="22" t="n">
        <v>1910</v>
      </c>
      <c r="F446" s="19"/>
      <c r="G446" s="22" t="n">
        <v>6</v>
      </c>
      <c r="H446" s="19"/>
      <c r="I446" s="23" t="s">
        <v>27</v>
      </c>
      <c r="J446" s="19" t="s">
        <v>428</v>
      </c>
    </row>
    <row r="447" customFormat="false" ht="15" hidden="false" customHeight="false" outlineLevel="0" collapsed="false">
      <c r="A447" s="19" t="s">
        <v>249</v>
      </c>
      <c r="B447" s="19" t="s">
        <v>254</v>
      </c>
      <c r="C447" s="19" t="s">
        <v>365</v>
      </c>
      <c r="D447" s="19" t="s">
        <v>781</v>
      </c>
      <c r="E447" s="22" t="n">
        <v>1539</v>
      </c>
      <c r="F447" s="19"/>
      <c r="G447" s="22" t="n">
        <v>6</v>
      </c>
      <c r="H447" s="19"/>
      <c r="I447" s="23" t="s">
        <v>27</v>
      </c>
      <c r="J447" s="19" t="s">
        <v>428</v>
      </c>
    </row>
    <row r="448" customFormat="false" ht="15" hidden="false" customHeight="false" outlineLevel="0" collapsed="false">
      <c r="A448" s="19" t="s">
        <v>249</v>
      </c>
      <c r="B448" s="19" t="s">
        <v>138</v>
      </c>
      <c r="C448" s="19" t="s">
        <v>446</v>
      </c>
      <c r="D448" s="19" t="s">
        <v>782</v>
      </c>
      <c r="E448" s="22" t="n">
        <v>960</v>
      </c>
      <c r="F448" s="19"/>
      <c r="G448" s="22" t="n">
        <v>6</v>
      </c>
      <c r="H448" s="19"/>
      <c r="I448" s="23" t="s">
        <v>27</v>
      </c>
      <c r="J448" s="19" t="s">
        <v>428</v>
      </c>
    </row>
    <row r="449" customFormat="false" ht="15" hidden="false" customHeight="false" outlineLevel="0" collapsed="false">
      <c r="A449" s="19" t="s">
        <v>249</v>
      </c>
      <c r="B449" s="19" t="s">
        <v>315</v>
      </c>
      <c r="C449" s="19" t="s">
        <v>316</v>
      </c>
      <c r="D449" s="19" t="s">
        <v>783</v>
      </c>
      <c r="E449" s="22" t="n">
        <v>1228</v>
      </c>
      <c r="F449" s="19"/>
      <c r="G449" s="22" t="n">
        <v>6</v>
      </c>
      <c r="H449" s="19"/>
      <c r="I449" s="23" t="s">
        <v>27</v>
      </c>
      <c r="J449" s="19" t="s">
        <v>539</v>
      </c>
    </row>
    <row r="450" customFormat="false" ht="15" hidden="false" customHeight="false" outlineLevel="0" collapsed="false">
      <c r="A450" s="19" t="s">
        <v>249</v>
      </c>
      <c r="B450" s="19" t="s">
        <v>315</v>
      </c>
      <c r="C450" s="19" t="s">
        <v>316</v>
      </c>
      <c r="D450" s="19" t="s">
        <v>784</v>
      </c>
      <c r="E450" s="22" t="n">
        <v>1236</v>
      </c>
      <c r="F450" s="19"/>
      <c r="G450" s="22" t="n">
        <v>6</v>
      </c>
      <c r="H450" s="19"/>
      <c r="I450" s="23" t="s">
        <v>27</v>
      </c>
      <c r="J450" s="19" t="s">
        <v>539</v>
      </c>
    </row>
    <row r="451" customFormat="false" ht="15" hidden="false" customHeight="false" outlineLevel="0" collapsed="false">
      <c r="A451" s="19" t="s">
        <v>252</v>
      </c>
      <c r="B451" s="19" t="s">
        <v>138</v>
      </c>
      <c r="C451" s="19" t="s">
        <v>319</v>
      </c>
      <c r="D451" s="19" t="s">
        <v>785</v>
      </c>
      <c r="E451" s="22" t="n">
        <v>302</v>
      </c>
      <c r="F451" s="19"/>
      <c r="G451" s="22" t="n">
        <v>6</v>
      </c>
      <c r="H451" s="19"/>
      <c r="I451" s="23" t="s">
        <v>27</v>
      </c>
      <c r="J451" s="19" t="s">
        <v>345</v>
      </c>
    </row>
    <row r="452" customFormat="false" ht="15" hidden="false" customHeight="false" outlineLevel="0" collapsed="false">
      <c r="A452" s="19" t="s">
        <v>252</v>
      </c>
      <c r="B452" s="19" t="s">
        <v>138</v>
      </c>
      <c r="C452" s="19" t="s">
        <v>319</v>
      </c>
      <c r="D452" s="19" t="s">
        <v>786</v>
      </c>
      <c r="E452" s="22" t="n">
        <v>512</v>
      </c>
      <c r="F452" s="19"/>
      <c r="G452" s="22" t="n">
        <v>6</v>
      </c>
      <c r="H452" s="19"/>
      <c r="I452" s="23" t="s">
        <v>27</v>
      </c>
      <c r="J452" s="19" t="s">
        <v>345</v>
      </c>
    </row>
    <row r="453" customFormat="false" ht="15" hidden="false" customHeight="false" outlineLevel="0" collapsed="false">
      <c r="A453" s="19" t="s">
        <v>332</v>
      </c>
      <c r="B453" s="19" t="s">
        <v>244</v>
      </c>
      <c r="C453" s="19" t="s">
        <v>365</v>
      </c>
      <c r="D453" s="19" t="s">
        <v>787</v>
      </c>
      <c r="E453" s="22" t="n">
        <v>1042</v>
      </c>
      <c r="F453" s="19"/>
      <c r="G453" s="22" t="n">
        <v>6</v>
      </c>
      <c r="H453" s="19"/>
      <c r="I453" s="23" t="s">
        <v>27</v>
      </c>
      <c r="J453" s="19" t="s">
        <v>388</v>
      </c>
    </row>
    <row r="454" customFormat="false" ht="15" hidden="false" customHeight="false" outlineLevel="0" collapsed="false">
      <c r="A454" s="19" t="s">
        <v>249</v>
      </c>
      <c r="B454" s="19" t="s">
        <v>138</v>
      </c>
      <c r="C454" s="19" t="s">
        <v>319</v>
      </c>
      <c r="D454" s="19" t="s">
        <v>788</v>
      </c>
      <c r="E454" s="22" t="n">
        <v>2122</v>
      </c>
      <c r="F454" s="19" t="n">
        <v>6.35</v>
      </c>
      <c r="G454" s="22" t="n">
        <v>6</v>
      </c>
      <c r="H454" s="19"/>
      <c r="I454" s="23" t="s">
        <v>27</v>
      </c>
      <c r="J454" s="19" t="s">
        <v>330</v>
      </c>
    </row>
    <row r="455" customFormat="false" ht="15" hidden="false" customHeight="false" outlineLevel="0" collapsed="false">
      <c r="A455" s="19" t="s">
        <v>252</v>
      </c>
      <c r="B455" s="19" t="s">
        <v>138</v>
      </c>
      <c r="C455" s="19" t="s">
        <v>530</v>
      </c>
      <c r="D455" s="19" t="s">
        <v>789</v>
      </c>
      <c r="E455" s="22" t="n">
        <v>468</v>
      </c>
      <c r="F455" s="19"/>
      <c r="G455" s="22" t="n">
        <v>5</v>
      </c>
      <c r="H455" s="19"/>
      <c r="I455" s="23" t="s">
        <v>27</v>
      </c>
      <c r="J455" s="19" t="s">
        <v>318</v>
      </c>
    </row>
    <row r="456" customFormat="false" ht="15" hidden="false" customHeight="false" outlineLevel="0" collapsed="false">
      <c r="A456" s="19" t="s">
        <v>252</v>
      </c>
      <c r="B456" s="19" t="s">
        <v>244</v>
      </c>
      <c r="C456" s="19" t="s">
        <v>365</v>
      </c>
      <c r="D456" s="19" t="s">
        <v>790</v>
      </c>
      <c r="E456" s="22" t="n">
        <v>592</v>
      </c>
      <c r="F456" s="19"/>
      <c r="G456" s="22" t="n">
        <v>5</v>
      </c>
      <c r="H456" s="19"/>
      <c r="I456" s="23" t="s">
        <v>27</v>
      </c>
      <c r="J456" s="19" t="s">
        <v>318</v>
      </c>
    </row>
    <row r="457" customFormat="false" ht="15" hidden="false" customHeight="false" outlineLevel="0" collapsed="false">
      <c r="A457" s="19" t="s">
        <v>252</v>
      </c>
      <c r="B457" s="19" t="s">
        <v>272</v>
      </c>
      <c r="C457" s="19" t="s">
        <v>365</v>
      </c>
      <c r="D457" s="19" t="s">
        <v>791</v>
      </c>
      <c r="E457" s="22" t="n">
        <v>703</v>
      </c>
      <c r="F457" s="19" t="n">
        <v>1.09</v>
      </c>
      <c r="G457" s="22" t="n">
        <v>5</v>
      </c>
      <c r="H457" s="19"/>
      <c r="I457" s="23" t="s">
        <v>27</v>
      </c>
      <c r="J457" s="19" t="s">
        <v>414</v>
      </c>
    </row>
    <row r="458" customFormat="false" ht="15" hidden="false" customHeight="false" outlineLevel="0" collapsed="false">
      <c r="A458" s="19" t="s">
        <v>252</v>
      </c>
      <c r="B458" s="19" t="s">
        <v>244</v>
      </c>
      <c r="C458" s="19" t="s">
        <v>365</v>
      </c>
      <c r="D458" s="19" t="s">
        <v>792</v>
      </c>
      <c r="E458" s="22" t="n">
        <v>818</v>
      </c>
      <c r="F458" s="19"/>
      <c r="G458" s="22" t="n">
        <v>5</v>
      </c>
      <c r="H458" s="19"/>
      <c r="I458" s="23" t="s">
        <v>27</v>
      </c>
      <c r="J458" s="19" t="s">
        <v>339</v>
      </c>
    </row>
    <row r="459" customFormat="false" ht="15" hidden="false" customHeight="false" outlineLevel="0" collapsed="false">
      <c r="A459" s="19" t="s">
        <v>252</v>
      </c>
      <c r="B459" s="19" t="s">
        <v>138</v>
      </c>
      <c r="C459" s="19" t="s">
        <v>367</v>
      </c>
      <c r="D459" s="19" t="s">
        <v>793</v>
      </c>
      <c r="E459" s="22" t="n">
        <v>92</v>
      </c>
      <c r="F459" s="19"/>
      <c r="G459" s="22" t="n">
        <v>5</v>
      </c>
      <c r="H459" s="19"/>
      <c r="I459" s="23" t="s">
        <v>27</v>
      </c>
      <c r="J459" s="19" t="s">
        <v>390</v>
      </c>
    </row>
    <row r="460" customFormat="false" ht="15" hidden="false" customHeight="false" outlineLevel="0" collapsed="false">
      <c r="A460" s="19" t="s">
        <v>246</v>
      </c>
      <c r="B460" s="19" t="s">
        <v>315</v>
      </c>
      <c r="C460" s="19" t="s">
        <v>316</v>
      </c>
      <c r="D460" s="19" t="s">
        <v>794</v>
      </c>
      <c r="E460" s="22" t="n">
        <v>740</v>
      </c>
      <c r="F460" s="19"/>
      <c r="G460" s="22" t="n">
        <v>5</v>
      </c>
      <c r="H460" s="19"/>
      <c r="I460" s="23" t="s">
        <v>27</v>
      </c>
      <c r="J460" s="19" t="s">
        <v>372</v>
      </c>
    </row>
    <row r="461" customFormat="false" ht="15" hidden="false" customHeight="false" outlineLevel="0" collapsed="false">
      <c r="A461" s="19" t="s">
        <v>246</v>
      </c>
      <c r="B461" s="19" t="s">
        <v>315</v>
      </c>
      <c r="C461" s="19" t="s">
        <v>316</v>
      </c>
      <c r="D461" s="19" t="s">
        <v>795</v>
      </c>
      <c r="E461" s="22" t="n">
        <v>831</v>
      </c>
      <c r="F461" s="19"/>
      <c r="G461" s="22" t="n">
        <v>5</v>
      </c>
      <c r="H461" s="19"/>
      <c r="I461" s="23" t="s">
        <v>27</v>
      </c>
      <c r="J461" s="19" t="s">
        <v>422</v>
      </c>
    </row>
    <row r="462" customFormat="false" ht="15" hidden="false" customHeight="false" outlineLevel="0" collapsed="false">
      <c r="A462" s="19" t="s">
        <v>246</v>
      </c>
      <c r="B462" s="19" t="s">
        <v>138</v>
      </c>
      <c r="C462" s="19" t="s">
        <v>446</v>
      </c>
      <c r="D462" s="19" t="s">
        <v>562</v>
      </c>
      <c r="E462" s="22" t="n">
        <v>969</v>
      </c>
      <c r="F462" s="19"/>
      <c r="G462" s="22" t="n">
        <v>5</v>
      </c>
      <c r="H462" s="19"/>
      <c r="I462" s="23" t="s">
        <v>27</v>
      </c>
      <c r="J462" s="19" t="s">
        <v>422</v>
      </c>
    </row>
    <row r="463" customFormat="false" ht="15" hidden="false" customHeight="false" outlineLevel="0" collapsed="false">
      <c r="A463" s="19" t="s">
        <v>332</v>
      </c>
      <c r="B463" s="19" t="s">
        <v>315</v>
      </c>
      <c r="C463" s="19" t="s">
        <v>316</v>
      </c>
      <c r="D463" s="19" t="s">
        <v>796</v>
      </c>
      <c r="E463" s="22" t="n">
        <v>1125</v>
      </c>
      <c r="F463" s="19"/>
      <c r="G463" s="22" t="n">
        <v>5</v>
      </c>
      <c r="H463" s="19" t="n">
        <v>4.5</v>
      </c>
      <c r="I463" s="23" t="s">
        <v>27</v>
      </c>
      <c r="J463" s="19" t="s">
        <v>422</v>
      </c>
    </row>
    <row r="464" customFormat="false" ht="15" hidden="false" customHeight="false" outlineLevel="0" collapsed="false">
      <c r="A464" s="19" t="s">
        <v>246</v>
      </c>
      <c r="B464" s="19" t="s">
        <v>254</v>
      </c>
      <c r="C464" s="19" t="s">
        <v>365</v>
      </c>
      <c r="D464" s="19" t="s">
        <v>797</v>
      </c>
      <c r="E464" s="22" t="n">
        <v>792</v>
      </c>
      <c r="F464" s="19"/>
      <c r="G464" s="22" t="n">
        <v>5</v>
      </c>
      <c r="H464" s="19"/>
      <c r="I464" s="23" t="s">
        <v>27</v>
      </c>
      <c r="J464" s="19" t="s">
        <v>351</v>
      </c>
    </row>
    <row r="465" customFormat="false" ht="15" hidden="false" customHeight="false" outlineLevel="0" collapsed="false">
      <c r="A465" s="19" t="s">
        <v>249</v>
      </c>
      <c r="B465" s="19" t="s">
        <v>315</v>
      </c>
      <c r="C465" s="19" t="s">
        <v>316</v>
      </c>
      <c r="D465" s="19" t="s">
        <v>798</v>
      </c>
      <c r="E465" s="22" t="n">
        <v>957</v>
      </c>
      <c r="F465" s="19"/>
      <c r="G465" s="22" t="n">
        <v>5</v>
      </c>
      <c r="H465" s="19"/>
      <c r="I465" s="23" t="s">
        <v>27</v>
      </c>
      <c r="J465" s="19" t="s">
        <v>428</v>
      </c>
    </row>
    <row r="466" customFormat="false" ht="15" hidden="false" customHeight="false" outlineLevel="0" collapsed="false">
      <c r="A466" s="19" t="s">
        <v>249</v>
      </c>
      <c r="B466" s="19" t="s">
        <v>138</v>
      </c>
      <c r="C466" s="19" t="s">
        <v>446</v>
      </c>
      <c r="D466" s="19" t="s">
        <v>799</v>
      </c>
      <c r="E466" s="22" t="n">
        <v>2161</v>
      </c>
      <c r="F466" s="19"/>
      <c r="G466" s="22" t="n">
        <v>5</v>
      </c>
      <c r="H466" s="19"/>
      <c r="I466" s="23" t="s">
        <v>27</v>
      </c>
      <c r="J466" s="19" t="s">
        <v>428</v>
      </c>
    </row>
    <row r="467" customFormat="false" ht="15" hidden="false" customHeight="false" outlineLevel="0" collapsed="false">
      <c r="A467" s="19" t="s">
        <v>249</v>
      </c>
      <c r="B467" s="19" t="s">
        <v>138</v>
      </c>
      <c r="C467" s="19" t="s">
        <v>367</v>
      </c>
      <c r="D467" s="19" t="s">
        <v>800</v>
      </c>
      <c r="E467" s="22" t="n">
        <v>1771</v>
      </c>
      <c r="F467" s="19"/>
      <c r="G467" s="22" t="n">
        <v>5</v>
      </c>
      <c r="H467" s="19"/>
      <c r="I467" s="23" t="s">
        <v>27</v>
      </c>
      <c r="J467" s="19" t="s">
        <v>428</v>
      </c>
    </row>
    <row r="468" customFormat="false" ht="15" hidden="false" customHeight="false" outlineLevel="0" collapsed="false">
      <c r="A468" s="19" t="s">
        <v>249</v>
      </c>
      <c r="B468" s="19" t="s">
        <v>138</v>
      </c>
      <c r="C468" s="19" t="s">
        <v>446</v>
      </c>
      <c r="D468" s="19" t="s">
        <v>801</v>
      </c>
      <c r="E468" s="22" t="n">
        <v>960</v>
      </c>
      <c r="F468" s="19"/>
      <c r="G468" s="22" t="n">
        <v>5</v>
      </c>
      <c r="H468" s="19"/>
      <c r="I468" s="23" t="s">
        <v>27</v>
      </c>
      <c r="J468" s="19" t="s">
        <v>428</v>
      </c>
    </row>
    <row r="469" customFormat="false" ht="15" hidden="false" customHeight="false" outlineLevel="0" collapsed="false">
      <c r="A469" s="19" t="s">
        <v>252</v>
      </c>
      <c r="B469" s="19" t="s">
        <v>138</v>
      </c>
      <c r="C469" s="19" t="s">
        <v>319</v>
      </c>
      <c r="D469" s="19" t="s">
        <v>802</v>
      </c>
      <c r="E469" s="22" t="n">
        <v>467</v>
      </c>
      <c r="F469" s="19"/>
      <c r="G469" s="22" t="n">
        <v>5</v>
      </c>
      <c r="H469" s="19"/>
      <c r="I469" s="23" t="s">
        <v>27</v>
      </c>
      <c r="J469" s="19" t="s">
        <v>345</v>
      </c>
    </row>
    <row r="470" customFormat="false" ht="15" hidden="false" customHeight="false" outlineLevel="0" collapsed="false">
      <c r="A470" s="19" t="s">
        <v>249</v>
      </c>
      <c r="B470" s="19" t="s">
        <v>138</v>
      </c>
      <c r="C470" s="19" t="s">
        <v>319</v>
      </c>
      <c r="D470" s="19" t="s">
        <v>803</v>
      </c>
      <c r="E470" s="22" t="n">
        <v>2588</v>
      </c>
      <c r="F470" s="19"/>
      <c r="G470" s="22" t="n">
        <v>5</v>
      </c>
      <c r="H470" s="19"/>
      <c r="I470" s="23" t="s">
        <v>27</v>
      </c>
      <c r="J470" s="19" t="s">
        <v>330</v>
      </c>
    </row>
    <row r="471" customFormat="false" ht="15" hidden="false" customHeight="false" outlineLevel="0" collapsed="false">
      <c r="A471" s="19" t="s">
        <v>249</v>
      </c>
      <c r="B471" s="19" t="s">
        <v>138</v>
      </c>
      <c r="C471" s="19" t="s">
        <v>319</v>
      </c>
      <c r="D471" s="19" t="s">
        <v>804</v>
      </c>
      <c r="E471" s="22" t="n">
        <v>1805</v>
      </c>
      <c r="F471" s="19"/>
      <c r="G471" s="22" t="n">
        <v>5</v>
      </c>
      <c r="H471" s="19"/>
      <c r="I471" s="23" t="s">
        <v>27</v>
      </c>
      <c r="J471" s="19" t="s">
        <v>330</v>
      </c>
    </row>
    <row r="472" customFormat="false" ht="15" hidden="false" customHeight="false" outlineLevel="0" collapsed="false">
      <c r="A472" s="19" t="s">
        <v>252</v>
      </c>
      <c r="B472" s="19" t="s">
        <v>254</v>
      </c>
      <c r="C472" s="19" t="s">
        <v>365</v>
      </c>
      <c r="D472" s="19" t="s">
        <v>805</v>
      </c>
      <c r="E472" s="22" t="n">
        <v>1590</v>
      </c>
      <c r="F472" s="19"/>
      <c r="G472" s="22" t="n">
        <v>4</v>
      </c>
      <c r="H472" s="19"/>
      <c r="I472" s="23" t="s">
        <v>27</v>
      </c>
      <c r="J472" s="19" t="s">
        <v>318</v>
      </c>
    </row>
    <row r="473" customFormat="false" ht="15" hidden="false" customHeight="false" outlineLevel="0" collapsed="false">
      <c r="A473" s="19" t="s">
        <v>252</v>
      </c>
      <c r="B473" s="19" t="s">
        <v>254</v>
      </c>
      <c r="C473" s="19" t="s">
        <v>365</v>
      </c>
      <c r="D473" s="19" t="s">
        <v>806</v>
      </c>
      <c r="E473" s="22" t="n">
        <v>1087</v>
      </c>
      <c r="F473" s="19"/>
      <c r="G473" s="22" t="n">
        <v>4</v>
      </c>
      <c r="H473" s="19"/>
      <c r="I473" s="23" t="s">
        <v>27</v>
      </c>
      <c r="J473" s="19" t="s">
        <v>318</v>
      </c>
    </row>
    <row r="474" customFormat="false" ht="15" hidden="false" customHeight="false" outlineLevel="0" collapsed="false">
      <c r="A474" s="19" t="s">
        <v>252</v>
      </c>
      <c r="B474" s="19" t="s">
        <v>138</v>
      </c>
      <c r="C474" s="19" t="s">
        <v>446</v>
      </c>
      <c r="D474" s="19" t="s">
        <v>807</v>
      </c>
      <c r="E474" s="22" t="n">
        <v>592</v>
      </c>
      <c r="F474" s="19"/>
      <c r="G474" s="22" t="n">
        <v>4</v>
      </c>
      <c r="H474" s="19"/>
      <c r="I474" s="23" t="s">
        <v>27</v>
      </c>
      <c r="J474" s="19" t="s">
        <v>318</v>
      </c>
    </row>
    <row r="475" customFormat="false" ht="15" hidden="false" customHeight="false" outlineLevel="0" collapsed="false">
      <c r="A475" s="19" t="s">
        <v>252</v>
      </c>
      <c r="B475" s="19" t="s">
        <v>138</v>
      </c>
      <c r="C475" s="19" t="s">
        <v>367</v>
      </c>
      <c r="D475" s="19" t="s">
        <v>808</v>
      </c>
      <c r="E475" s="22" t="n">
        <v>957</v>
      </c>
      <c r="F475" s="19" t="n">
        <v>1.09</v>
      </c>
      <c r="G475" s="22" t="n">
        <v>4</v>
      </c>
      <c r="H475" s="19"/>
      <c r="I475" s="23" t="s">
        <v>27</v>
      </c>
      <c r="J475" s="19" t="s">
        <v>414</v>
      </c>
    </row>
    <row r="476" customFormat="false" ht="15" hidden="false" customHeight="false" outlineLevel="0" collapsed="false">
      <c r="A476" s="19" t="s">
        <v>252</v>
      </c>
      <c r="B476" s="19" t="s">
        <v>244</v>
      </c>
      <c r="C476" s="19" t="s">
        <v>365</v>
      </c>
      <c r="D476" s="19" t="s">
        <v>809</v>
      </c>
      <c r="E476" s="22" t="n">
        <v>837</v>
      </c>
      <c r="F476" s="19" t="n">
        <v>1.09</v>
      </c>
      <c r="G476" s="22" t="n">
        <v>4</v>
      </c>
      <c r="H476" s="19"/>
      <c r="I476" s="23" t="s">
        <v>27</v>
      </c>
      <c r="J476" s="19" t="s">
        <v>414</v>
      </c>
    </row>
    <row r="477" customFormat="false" ht="15" hidden="false" customHeight="false" outlineLevel="0" collapsed="false">
      <c r="A477" s="19" t="s">
        <v>252</v>
      </c>
      <c r="B477" s="19" t="s">
        <v>244</v>
      </c>
      <c r="C477" s="19" t="s">
        <v>365</v>
      </c>
      <c r="D477" s="19" t="s">
        <v>810</v>
      </c>
      <c r="E477" s="22" t="n">
        <v>1927</v>
      </c>
      <c r="F477" s="19" t="n">
        <v>16.89</v>
      </c>
      <c r="G477" s="22" t="n">
        <v>4</v>
      </c>
      <c r="H477" s="19"/>
      <c r="I477" s="23" t="s">
        <v>27</v>
      </c>
      <c r="J477" s="19" t="s">
        <v>339</v>
      </c>
    </row>
    <row r="478" customFormat="false" ht="15" hidden="false" customHeight="false" outlineLevel="0" collapsed="false">
      <c r="A478" s="19" t="s">
        <v>246</v>
      </c>
      <c r="B478" s="19" t="s">
        <v>138</v>
      </c>
      <c r="C478" s="19" t="s">
        <v>446</v>
      </c>
      <c r="D478" s="19" t="s">
        <v>811</v>
      </c>
      <c r="E478" s="22" t="n">
        <v>983</v>
      </c>
      <c r="F478" s="19" t="n">
        <v>1.82</v>
      </c>
      <c r="G478" s="22" t="n">
        <v>4</v>
      </c>
      <c r="H478" s="19"/>
      <c r="I478" s="23" t="s">
        <v>27</v>
      </c>
      <c r="J478" s="19" t="s">
        <v>372</v>
      </c>
    </row>
    <row r="479" customFormat="false" ht="15" hidden="false" customHeight="false" outlineLevel="0" collapsed="false">
      <c r="A479" s="19" t="s">
        <v>246</v>
      </c>
      <c r="B479" s="19" t="s">
        <v>138</v>
      </c>
      <c r="C479" s="19" t="s">
        <v>446</v>
      </c>
      <c r="D479" s="19" t="s">
        <v>812</v>
      </c>
      <c r="E479" s="22" t="n">
        <v>961</v>
      </c>
      <c r="F479" s="19" t="n">
        <v>5.41</v>
      </c>
      <c r="G479" s="22" t="n">
        <v>4</v>
      </c>
      <c r="H479" s="19"/>
      <c r="I479" s="23" t="s">
        <v>27</v>
      </c>
      <c r="J479" s="19" t="s">
        <v>422</v>
      </c>
    </row>
    <row r="480" customFormat="false" ht="15" hidden="false" customHeight="false" outlineLevel="0" collapsed="false">
      <c r="A480" s="19" t="s">
        <v>246</v>
      </c>
      <c r="B480" s="19" t="s">
        <v>315</v>
      </c>
      <c r="C480" s="19" t="s">
        <v>316</v>
      </c>
      <c r="D480" s="19" t="s">
        <v>813</v>
      </c>
      <c r="E480" s="22" t="n">
        <v>1143</v>
      </c>
      <c r="F480" s="19"/>
      <c r="G480" s="22" t="n">
        <v>4</v>
      </c>
      <c r="H480" s="19"/>
      <c r="I480" s="23" t="s">
        <v>27</v>
      </c>
      <c r="J480" s="19" t="s">
        <v>422</v>
      </c>
    </row>
    <row r="481" customFormat="false" ht="15" hidden="false" customHeight="false" outlineLevel="0" collapsed="false">
      <c r="A481" s="19" t="s">
        <v>246</v>
      </c>
      <c r="B481" s="19" t="s">
        <v>138</v>
      </c>
      <c r="C481" s="19" t="s">
        <v>446</v>
      </c>
      <c r="D481" s="19" t="s">
        <v>814</v>
      </c>
      <c r="E481" s="22" t="n">
        <v>1154</v>
      </c>
      <c r="F481" s="19" t="n">
        <v>7.71</v>
      </c>
      <c r="G481" s="22" t="n">
        <v>4</v>
      </c>
      <c r="H481" s="19"/>
      <c r="I481" s="23" t="s">
        <v>27</v>
      </c>
      <c r="J481" s="19" t="s">
        <v>422</v>
      </c>
    </row>
    <row r="482" customFormat="false" ht="15" hidden="false" customHeight="false" outlineLevel="0" collapsed="false">
      <c r="A482" s="19" t="s">
        <v>246</v>
      </c>
      <c r="B482" s="19" t="s">
        <v>138</v>
      </c>
      <c r="C482" s="19" t="s">
        <v>367</v>
      </c>
      <c r="D482" s="19" t="s">
        <v>815</v>
      </c>
      <c r="E482" s="22" t="n">
        <v>884</v>
      </c>
      <c r="F482" s="19"/>
      <c r="G482" s="22" t="n">
        <v>4</v>
      </c>
      <c r="H482" s="19"/>
      <c r="I482" s="23" t="s">
        <v>27</v>
      </c>
      <c r="J482" s="19" t="s">
        <v>323</v>
      </c>
    </row>
    <row r="483" customFormat="false" ht="15" hidden="false" customHeight="false" outlineLevel="0" collapsed="false">
      <c r="A483" s="19" t="s">
        <v>246</v>
      </c>
      <c r="B483" s="19" t="s">
        <v>138</v>
      </c>
      <c r="C483" s="19" t="s">
        <v>319</v>
      </c>
      <c r="D483" s="19" t="s">
        <v>816</v>
      </c>
      <c r="E483" s="22" t="n">
        <v>3356</v>
      </c>
      <c r="F483" s="19" t="n">
        <v>3.57</v>
      </c>
      <c r="G483" s="22" t="n">
        <v>4</v>
      </c>
      <c r="H483" s="19"/>
      <c r="I483" s="23" t="s">
        <v>27</v>
      </c>
      <c r="J483" s="19" t="s">
        <v>326</v>
      </c>
    </row>
    <row r="484" customFormat="false" ht="15" hidden="false" customHeight="false" outlineLevel="0" collapsed="false">
      <c r="A484" s="19" t="s">
        <v>246</v>
      </c>
      <c r="B484" s="19" t="s">
        <v>138</v>
      </c>
      <c r="C484" s="19" t="s">
        <v>367</v>
      </c>
      <c r="D484" s="19" t="s">
        <v>817</v>
      </c>
      <c r="E484" s="22" t="n">
        <v>606</v>
      </c>
      <c r="F484" s="19" t="n">
        <v>1.2</v>
      </c>
      <c r="G484" s="22" t="n">
        <v>4</v>
      </c>
      <c r="H484" s="19"/>
      <c r="I484" s="23" t="s">
        <v>27</v>
      </c>
      <c r="J484" s="19" t="s">
        <v>326</v>
      </c>
    </row>
    <row r="485" customFormat="false" ht="15" hidden="false" customHeight="false" outlineLevel="0" collapsed="false">
      <c r="A485" s="19" t="s">
        <v>246</v>
      </c>
      <c r="B485" s="19" t="s">
        <v>138</v>
      </c>
      <c r="C485" s="19" t="s">
        <v>367</v>
      </c>
      <c r="D485" s="19" t="s">
        <v>818</v>
      </c>
      <c r="E485" s="22" t="n">
        <v>1868</v>
      </c>
      <c r="F485" s="19" t="n">
        <v>5.43</v>
      </c>
      <c r="G485" s="22" t="n">
        <v>4</v>
      </c>
      <c r="H485" s="19"/>
      <c r="I485" s="23" t="s">
        <v>27</v>
      </c>
      <c r="J485" s="19" t="s">
        <v>326</v>
      </c>
    </row>
    <row r="486" customFormat="false" ht="15" hidden="false" customHeight="false" outlineLevel="0" collapsed="false">
      <c r="A486" s="19" t="s">
        <v>246</v>
      </c>
      <c r="B486" s="19" t="s">
        <v>138</v>
      </c>
      <c r="C486" s="19" t="s">
        <v>367</v>
      </c>
      <c r="D486" s="19" t="s">
        <v>819</v>
      </c>
      <c r="E486" s="22" t="n">
        <v>3007</v>
      </c>
      <c r="F486" s="19" t="n">
        <v>10.78</v>
      </c>
      <c r="G486" s="22" t="n">
        <v>4</v>
      </c>
      <c r="H486" s="19"/>
      <c r="I486" s="23" t="s">
        <v>27</v>
      </c>
      <c r="J486" s="19" t="s">
        <v>326</v>
      </c>
    </row>
    <row r="487" customFormat="false" ht="15" hidden="false" customHeight="false" outlineLevel="0" collapsed="false">
      <c r="A487" s="19" t="s">
        <v>246</v>
      </c>
      <c r="B487" s="19" t="s">
        <v>254</v>
      </c>
      <c r="C487" s="19" t="s">
        <v>365</v>
      </c>
      <c r="D487" s="19" t="s">
        <v>608</v>
      </c>
      <c r="E487" s="22" t="n">
        <v>741</v>
      </c>
      <c r="F487" s="19"/>
      <c r="G487" s="22" t="n">
        <v>4</v>
      </c>
      <c r="H487" s="19"/>
      <c r="I487" s="23" t="s">
        <v>27</v>
      </c>
      <c r="J487" s="19" t="s">
        <v>351</v>
      </c>
    </row>
    <row r="488" customFormat="false" ht="15" hidden="false" customHeight="false" outlineLevel="0" collapsed="false">
      <c r="A488" s="19" t="s">
        <v>246</v>
      </c>
      <c r="B488" s="19" t="s">
        <v>254</v>
      </c>
      <c r="C488" s="19" t="s">
        <v>365</v>
      </c>
      <c r="D488" s="19" t="s">
        <v>820</v>
      </c>
      <c r="E488" s="22" t="n">
        <v>1859</v>
      </c>
      <c r="F488" s="19" t="n">
        <v>3.24</v>
      </c>
      <c r="G488" s="22" t="n">
        <v>4</v>
      </c>
      <c r="H488" s="19"/>
      <c r="I488" s="23" t="s">
        <v>27</v>
      </c>
      <c r="J488" s="19" t="s">
        <v>351</v>
      </c>
    </row>
    <row r="489" customFormat="false" ht="15" hidden="false" customHeight="false" outlineLevel="0" collapsed="false">
      <c r="A489" s="19" t="s">
        <v>249</v>
      </c>
      <c r="B489" s="19" t="s">
        <v>287</v>
      </c>
      <c r="C489" s="19" t="s">
        <v>365</v>
      </c>
      <c r="D489" s="19" t="s">
        <v>821</v>
      </c>
      <c r="E489" s="22" t="n">
        <v>1753</v>
      </c>
      <c r="F489" s="19"/>
      <c r="G489" s="22" t="n">
        <v>4</v>
      </c>
      <c r="H489" s="19"/>
      <c r="I489" s="23" t="s">
        <v>27</v>
      </c>
      <c r="J489" s="19" t="s">
        <v>428</v>
      </c>
    </row>
    <row r="490" customFormat="false" ht="15" hidden="false" customHeight="false" outlineLevel="0" collapsed="false">
      <c r="A490" s="19" t="s">
        <v>249</v>
      </c>
      <c r="B490" s="19" t="s">
        <v>254</v>
      </c>
      <c r="C490" s="19" t="s">
        <v>365</v>
      </c>
      <c r="D490" s="19" t="s">
        <v>822</v>
      </c>
      <c r="E490" s="22" t="n">
        <v>2086</v>
      </c>
      <c r="F490" s="19"/>
      <c r="G490" s="22" t="n">
        <v>4</v>
      </c>
      <c r="H490" s="19"/>
      <c r="I490" s="23" t="s">
        <v>27</v>
      </c>
      <c r="J490" s="19" t="s">
        <v>428</v>
      </c>
    </row>
    <row r="491" customFormat="false" ht="15" hidden="false" customHeight="false" outlineLevel="0" collapsed="false">
      <c r="A491" s="19" t="s">
        <v>249</v>
      </c>
      <c r="B491" s="19" t="s">
        <v>138</v>
      </c>
      <c r="C491" s="19" t="s">
        <v>367</v>
      </c>
      <c r="D491" s="19" t="s">
        <v>823</v>
      </c>
      <c r="E491" s="22" t="n">
        <v>1065</v>
      </c>
      <c r="F491" s="19"/>
      <c r="G491" s="22" t="n">
        <v>4</v>
      </c>
      <c r="H491" s="19"/>
      <c r="I491" s="23" t="s">
        <v>27</v>
      </c>
      <c r="J491" s="19" t="s">
        <v>539</v>
      </c>
    </row>
    <row r="492" customFormat="false" ht="15" hidden="false" customHeight="false" outlineLevel="0" collapsed="false">
      <c r="A492" s="19" t="s">
        <v>249</v>
      </c>
      <c r="B492" s="19" t="s">
        <v>254</v>
      </c>
      <c r="C492" s="19" t="s">
        <v>365</v>
      </c>
      <c r="D492" s="19" t="s">
        <v>824</v>
      </c>
      <c r="E492" s="22" t="n">
        <v>1181</v>
      </c>
      <c r="F492" s="19"/>
      <c r="G492" s="22" t="n">
        <v>4</v>
      </c>
      <c r="H492" s="19"/>
      <c r="I492" s="23" t="s">
        <v>27</v>
      </c>
      <c r="J492" s="19" t="s">
        <v>539</v>
      </c>
    </row>
    <row r="493" customFormat="false" ht="15" hidden="false" customHeight="false" outlineLevel="0" collapsed="false">
      <c r="A493" s="19" t="s">
        <v>252</v>
      </c>
      <c r="B493" s="19" t="s">
        <v>138</v>
      </c>
      <c r="C493" s="19" t="s">
        <v>319</v>
      </c>
      <c r="D493" s="19" t="s">
        <v>825</v>
      </c>
      <c r="E493" s="22" t="n">
        <v>424</v>
      </c>
      <c r="F493" s="19"/>
      <c r="G493" s="22" t="n">
        <v>4</v>
      </c>
      <c r="H493" s="19"/>
      <c r="I493" s="23" t="s">
        <v>27</v>
      </c>
      <c r="J493" s="19" t="s">
        <v>345</v>
      </c>
    </row>
    <row r="494" customFormat="false" ht="15" hidden="false" customHeight="false" outlineLevel="0" collapsed="false">
      <c r="A494" s="19" t="s">
        <v>246</v>
      </c>
      <c r="B494" s="19" t="s">
        <v>138</v>
      </c>
      <c r="C494" s="19" t="s">
        <v>319</v>
      </c>
      <c r="D494" s="19" t="s">
        <v>826</v>
      </c>
      <c r="E494" s="22" t="n">
        <v>1014</v>
      </c>
      <c r="F494" s="19"/>
      <c r="G494" s="22" t="n">
        <v>4</v>
      </c>
      <c r="H494" s="19"/>
      <c r="I494" s="23" t="s">
        <v>27</v>
      </c>
      <c r="J494" s="19" t="s">
        <v>321</v>
      </c>
    </row>
    <row r="495" customFormat="false" ht="15" hidden="false" customHeight="false" outlineLevel="0" collapsed="false">
      <c r="A495" s="19" t="s">
        <v>249</v>
      </c>
      <c r="B495" s="19" t="s">
        <v>138</v>
      </c>
      <c r="C495" s="19" t="s">
        <v>319</v>
      </c>
      <c r="D495" s="19" t="s">
        <v>827</v>
      </c>
      <c r="E495" s="22" t="n">
        <v>1921</v>
      </c>
      <c r="F495" s="19"/>
      <c r="G495" s="22" t="n">
        <v>4</v>
      </c>
      <c r="H495" s="19"/>
      <c r="I495" s="23" t="s">
        <v>27</v>
      </c>
      <c r="J495" s="19" t="s">
        <v>330</v>
      </c>
    </row>
    <row r="496" customFormat="false" ht="15" hidden="false" customHeight="false" outlineLevel="0" collapsed="false">
      <c r="A496" s="19" t="s">
        <v>252</v>
      </c>
      <c r="B496" s="19" t="s">
        <v>138</v>
      </c>
      <c r="C496" s="19" t="s">
        <v>530</v>
      </c>
      <c r="D496" s="19" t="s">
        <v>828</v>
      </c>
      <c r="E496" s="22" t="n">
        <v>592</v>
      </c>
      <c r="F496" s="19"/>
      <c r="G496" s="22" t="n">
        <v>3</v>
      </c>
      <c r="H496" s="19"/>
      <c r="I496" s="23" t="s">
        <v>27</v>
      </c>
      <c r="J496" s="19" t="s">
        <v>318</v>
      </c>
    </row>
    <row r="497" customFormat="false" ht="15" hidden="false" customHeight="false" outlineLevel="0" collapsed="false">
      <c r="A497" s="19" t="s">
        <v>252</v>
      </c>
      <c r="B497" s="19" t="s">
        <v>244</v>
      </c>
      <c r="C497" s="19" t="s">
        <v>365</v>
      </c>
      <c r="D497" s="19" t="s">
        <v>829</v>
      </c>
      <c r="E497" s="22" t="n">
        <v>301</v>
      </c>
      <c r="F497" s="19"/>
      <c r="G497" s="22" t="n">
        <v>3</v>
      </c>
      <c r="H497" s="19"/>
      <c r="I497" s="23" t="s">
        <v>27</v>
      </c>
      <c r="J497" s="19" t="s">
        <v>318</v>
      </c>
    </row>
    <row r="498" customFormat="false" ht="15" hidden="false" customHeight="false" outlineLevel="0" collapsed="false">
      <c r="A498" s="19" t="s">
        <v>252</v>
      </c>
      <c r="B498" s="19" t="s">
        <v>138</v>
      </c>
      <c r="C498" s="19" t="s">
        <v>446</v>
      </c>
      <c r="D498" s="19" t="s">
        <v>830</v>
      </c>
      <c r="E498" s="22" t="n">
        <v>779</v>
      </c>
      <c r="F498" s="19" t="n">
        <v>1.09</v>
      </c>
      <c r="G498" s="22" t="n">
        <v>3</v>
      </c>
      <c r="H498" s="19"/>
      <c r="I498" s="23" t="s">
        <v>27</v>
      </c>
      <c r="J498" s="19" t="s">
        <v>414</v>
      </c>
    </row>
    <row r="499" customFormat="false" ht="15" hidden="false" customHeight="false" outlineLevel="0" collapsed="false">
      <c r="A499" s="19" t="s">
        <v>252</v>
      </c>
      <c r="B499" s="19" t="s">
        <v>244</v>
      </c>
      <c r="C499" s="19" t="s">
        <v>365</v>
      </c>
      <c r="D499" s="19" t="s">
        <v>831</v>
      </c>
      <c r="E499" s="22" t="n">
        <v>606</v>
      </c>
      <c r="F499" s="19" t="n">
        <v>1.09</v>
      </c>
      <c r="G499" s="22" t="n">
        <v>3</v>
      </c>
      <c r="H499" s="19"/>
      <c r="I499" s="23" t="s">
        <v>27</v>
      </c>
      <c r="J499" s="19" t="s">
        <v>414</v>
      </c>
    </row>
    <row r="500" customFormat="false" ht="15" hidden="false" customHeight="false" outlineLevel="0" collapsed="false">
      <c r="A500" s="19" t="s">
        <v>246</v>
      </c>
      <c r="B500" s="19" t="s">
        <v>244</v>
      </c>
      <c r="C500" s="19" t="s">
        <v>365</v>
      </c>
      <c r="D500" s="19" t="s">
        <v>832</v>
      </c>
      <c r="E500" s="22" t="n">
        <v>941</v>
      </c>
      <c r="F500" s="19" t="n">
        <v>1.32</v>
      </c>
      <c r="G500" s="22" t="n">
        <v>3</v>
      </c>
      <c r="H500" s="19"/>
      <c r="I500" s="23" t="s">
        <v>27</v>
      </c>
      <c r="J500" s="19" t="s">
        <v>372</v>
      </c>
    </row>
    <row r="501" customFormat="false" ht="15" hidden="false" customHeight="false" outlineLevel="0" collapsed="false">
      <c r="A501" s="19" t="s">
        <v>246</v>
      </c>
      <c r="B501" s="19" t="s">
        <v>138</v>
      </c>
      <c r="C501" s="19" t="s">
        <v>446</v>
      </c>
      <c r="D501" s="19" t="s">
        <v>833</v>
      </c>
      <c r="E501" s="22" t="n">
        <v>958</v>
      </c>
      <c r="F501" s="19" t="n">
        <v>1.52</v>
      </c>
      <c r="G501" s="22" t="n">
        <v>3</v>
      </c>
      <c r="H501" s="19"/>
      <c r="I501" s="23" t="s">
        <v>27</v>
      </c>
      <c r="J501" s="19" t="s">
        <v>372</v>
      </c>
    </row>
    <row r="502" customFormat="false" ht="15" hidden="false" customHeight="false" outlineLevel="0" collapsed="false">
      <c r="A502" s="19" t="s">
        <v>246</v>
      </c>
      <c r="B502" s="19" t="s">
        <v>138</v>
      </c>
      <c r="C502" s="19" t="s">
        <v>446</v>
      </c>
      <c r="D502" s="19" t="s">
        <v>834</v>
      </c>
      <c r="E502" s="22" t="n">
        <v>951</v>
      </c>
      <c r="F502" s="19" t="n">
        <v>1.09</v>
      </c>
      <c r="G502" s="22" t="n">
        <v>3</v>
      </c>
      <c r="H502" s="19"/>
      <c r="I502" s="23" t="s">
        <v>27</v>
      </c>
      <c r="J502" s="19" t="s">
        <v>372</v>
      </c>
    </row>
    <row r="503" customFormat="false" ht="15" hidden="false" customHeight="false" outlineLevel="0" collapsed="false">
      <c r="A503" s="19" t="s">
        <v>246</v>
      </c>
      <c r="B503" s="19" t="s">
        <v>138</v>
      </c>
      <c r="C503" s="19" t="s">
        <v>367</v>
      </c>
      <c r="D503" s="19" t="s">
        <v>537</v>
      </c>
      <c r="E503" s="22" t="n">
        <v>381</v>
      </c>
      <c r="F503" s="19"/>
      <c r="G503" s="22" t="n">
        <v>3</v>
      </c>
      <c r="H503" s="19"/>
      <c r="I503" s="23" t="s">
        <v>27</v>
      </c>
      <c r="J503" s="19" t="s">
        <v>372</v>
      </c>
    </row>
    <row r="504" customFormat="false" ht="15" hidden="false" customHeight="false" outlineLevel="0" collapsed="false">
      <c r="A504" s="19" t="s">
        <v>246</v>
      </c>
      <c r="B504" s="19" t="s">
        <v>138</v>
      </c>
      <c r="C504" s="19" t="s">
        <v>446</v>
      </c>
      <c r="D504" s="19" t="s">
        <v>835</v>
      </c>
      <c r="E504" s="22" t="n">
        <v>1884</v>
      </c>
      <c r="F504" s="19" t="n">
        <v>1.09</v>
      </c>
      <c r="G504" s="22" t="n">
        <v>3</v>
      </c>
      <c r="H504" s="19"/>
      <c r="I504" s="23" t="s">
        <v>27</v>
      </c>
      <c r="J504" s="19" t="s">
        <v>372</v>
      </c>
    </row>
    <row r="505" customFormat="false" ht="15" hidden="false" customHeight="false" outlineLevel="0" collapsed="false">
      <c r="A505" s="19" t="s">
        <v>246</v>
      </c>
      <c r="B505" s="19" t="s">
        <v>254</v>
      </c>
      <c r="C505" s="19" t="s">
        <v>365</v>
      </c>
      <c r="D505" s="19" t="s">
        <v>836</v>
      </c>
      <c r="E505" s="22" t="n">
        <v>1965</v>
      </c>
      <c r="F505" s="19" t="n">
        <v>1.09</v>
      </c>
      <c r="G505" s="22" t="n">
        <v>3</v>
      </c>
      <c r="H505" s="19"/>
      <c r="I505" s="23" t="s">
        <v>27</v>
      </c>
      <c r="J505" s="19" t="s">
        <v>372</v>
      </c>
    </row>
    <row r="506" customFormat="false" ht="15" hidden="false" customHeight="false" outlineLevel="0" collapsed="false">
      <c r="A506" s="19" t="s">
        <v>246</v>
      </c>
      <c r="B506" s="19" t="s">
        <v>315</v>
      </c>
      <c r="C506" s="19" t="s">
        <v>316</v>
      </c>
      <c r="D506" s="19" t="s">
        <v>837</v>
      </c>
      <c r="E506" s="22" t="n">
        <v>914</v>
      </c>
      <c r="F506" s="19"/>
      <c r="G506" s="22" t="n">
        <v>3</v>
      </c>
      <c r="H506" s="19"/>
      <c r="I506" s="23" t="s">
        <v>27</v>
      </c>
      <c r="J506" s="19" t="s">
        <v>422</v>
      </c>
    </row>
    <row r="507" customFormat="false" ht="15" hidden="false" customHeight="false" outlineLevel="0" collapsed="false">
      <c r="A507" s="19" t="s">
        <v>249</v>
      </c>
      <c r="B507" s="19" t="s">
        <v>138</v>
      </c>
      <c r="C507" s="19" t="s">
        <v>446</v>
      </c>
      <c r="D507" s="19" t="s">
        <v>838</v>
      </c>
      <c r="E507" s="22" t="n">
        <v>925</v>
      </c>
      <c r="F507" s="19" t="n">
        <v>4.99</v>
      </c>
      <c r="G507" s="22" t="n">
        <v>3</v>
      </c>
      <c r="H507" s="19"/>
      <c r="I507" s="23" t="s">
        <v>27</v>
      </c>
      <c r="J507" s="19" t="s">
        <v>422</v>
      </c>
    </row>
    <row r="508" customFormat="false" ht="15" hidden="false" customHeight="false" outlineLevel="0" collapsed="false">
      <c r="A508" s="19" t="s">
        <v>246</v>
      </c>
      <c r="B508" s="19" t="s">
        <v>138</v>
      </c>
      <c r="C508" s="19" t="s">
        <v>446</v>
      </c>
      <c r="D508" s="19" t="s">
        <v>839</v>
      </c>
      <c r="E508" s="22" t="n">
        <v>1518</v>
      </c>
      <c r="F508" s="19" t="n">
        <v>0.99</v>
      </c>
      <c r="G508" s="22" t="n">
        <v>3</v>
      </c>
      <c r="H508" s="19"/>
      <c r="I508" s="23" t="s">
        <v>27</v>
      </c>
      <c r="J508" s="19" t="s">
        <v>323</v>
      </c>
    </row>
    <row r="509" customFormat="false" ht="15" hidden="false" customHeight="false" outlineLevel="0" collapsed="false">
      <c r="A509" s="19" t="s">
        <v>246</v>
      </c>
      <c r="B509" s="19" t="s">
        <v>138</v>
      </c>
      <c r="C509" s="19" t="s">
        <v>319</v>
      </c>
      <c r="D509" s="19" t="s">
        <v>840</v>
      </c>
      <c r="E509" s="22" t="n">
        <v>871</v>
      </c>
      <c r="F509" s="19" t="n">
        <v>0.99</v>
      </c>
      <c r="G509" s="22" t="n">
        <v>3</v>
      </c>
      <c r="H509" s="19"/>
      <c r="I509" s="23" t="s">
        <v>27</v>
      </c>
      <c r="J509" s="19" t="s">
        <v>323</v>
      </c>
    </row>
    <row r="510" customFormat="false" ht="15" hidden="false" customHeight="false" outlineLevel="0" collapsed="false">
      <c r="A510" s="19" t="s">
        <v>246</v>
      </c>
      <c r="B510" s="19" t="s">
        <v>138</v>
      </c>
      <c r="C510" s="19" t="s">
        <v>367</v>
      </c>
      <c r="D510" s="19" t="s">
        <v>841</v>
      </c>
      <c r="E510" s="22" t="n">
        <v>1431</v>
      </c>
      <c r="F510" s="19" t="n">
        <v>1.99</v>
      </c>
      <c r="G510" s="22" t="n">
        <v>3</v>
      </c>
      <c r="H510" s="19"/>
      <c r="I510" s="23" t="s">
        <v>27</v>
      </c>
      <c r="J510" s="19" t="s">
        <v>326</v>
      </c>
    </row>
    <row r="511" customFormat="false" ht="15" hidden="false" customHeight="false" outlineLevel="0" collapsed="false">
      <c r="A511" s="19" t="s">
        <v>246</v>
      </c>
      <c r="B511" s="19" t="s">
        <v>138</v>
      </c>
      <c r="C511" s="19" t="s">
        <v>319</v>
      </c>
      <c r="D511" s="19" t="s">
        <v>842</v>
      </c>
      <c r="E511" s="22" t="n">
        <v>821</v>
      </c>
      <c r="F511" s="19"/>
      <c r="G511" s="22" t="n">
        <v>3</v>
      </c>
      <c r="H511" s="19"/>
      <c r="I511" s="23" t="s">
        <v>27</v>
      </c>
      <c r="J511" s="19" t="s">
        <v>326</v>
      </c>
    </row>
    <row r="512" customFormat="false" ht="15" hidden="false" customHeight="false" outlineLevel="0" collapsed="false">
      <c r="A512" s="19" t="s">
        <v>246</v>
      </c>
      <c r="B512" s="19" t="s">
        <v>254</v>
      </c>
      <c r="C512" s="19" t="s">
        <v>365</v>
      </c>
      <c r="D512" s="19" t="s">
        <v>693</v>
      </c>
      <c r="E512" s="22" t="n">
        <v>861</v>
      </c>
      <c r="F512" s="19"/>
      <c r="G512" s="22" t="n">
        <v>3</v>
      </c>
      <c r="H512" s="19"/>
      <c r="I512" s="23" t="s">
        <v>27</v>
      </c>
      <c r="J512" s="19" t="s">
        <v>351</v>
      </c>
    </row>
    <row r="513" customFormat="false" ht="15" hidden="false" customHeight="false" outlineLevel="0" collapsed="false">
      <c r="A513" s="19" t="s">
        <v>249</v>
      </c>
      <c r="B513" s="19" t="s">
        <v>138</v>
      </c>
      <c r="C513" s="19" t="s">
        <v>367</v>
      </c>
      <c r="D513" s="19" t="s">
        <v>843</v>
      </c>
      <c r="E513" s="22" t="n">
        <v>2193</v>
      </c>
      <c r="F513" s="19" t="n">
        <v>4.24</v>
      </c>
      <c r="G513" s="22" t="n">
        <v>3</v>
      </c>
      <c r="H513" s="19"/>
      <c r="I513" s="23" t="s">
        <v>27</v>
      </c>
      <c r="J513" s="19" t="s">
        <v>428</v>
      </c>
    </row>
    <row r="514" customFormat="false" ht="15" hidden="false" customHeight="false" outlineLevel="0" collapsed="false">
      <c r="A514" s="19" t="s">
        <v>249</v>
      </c>
      <c r="B514" s="19" t="s">
        <v>244</v>
      </c>
      <c r="C514" s="19" t="s">
        <v>365</v>
      </c>
      <c r="D514" s="19" t="s">
        <v>844</v>
      </c>
      <c r="E514" s="22" t="n">
        <v>1926</v>
      </c>
      <c r="F514" s="19"/>
      <c r="G514" s="22" t="n">
        <v>3</v>
      </c>
      <c r="H514" s="19"/>
      <c r="I514" s="23" t="s">
        <v>27</v>
      </c>
      <c r="J514" s="19" t="s">
        <v>428</v>
      </c>
    </row>
    <row r="515" customFormat="false" ht="15" hidden="false" customHeight="false" outlineLevel="0" collapsed="false">
      <c r="A515" s="19" t="s">
        <v>249</v>
      </c>
      <c r="B515" s="19" t="s">
        <v>138</v>
      </c>
      <c r="C515" s="19" t="s">
        <v>367</v>
      </c>
      <c r="D515" s="19" t="s">
        <v>845</v>
      </c>
      <c r="E515" s="22" t="n">
        <v>830</v>
      </c>
      <c r="F515" s="19"/>
      <c r="G515" s="22" t="n">
        <v>3</v>
      </c>
      <c r="H515" s="19"/>
      <c r="I515" s="23" t="s">
        <v>27</v>
      </c>
      <c r="J515" s="19" t="s">
        <v>428</v>
      </c>
    </row>
    <row r="516" customFormat="false" ht="15" hidden="false" customHeight="false" outlineLevel="0" collapsed="false">
      <c r="A516" s="19" t="s">
        <v>252</v>
      </c>
      <c r="B516" s="19" t="s">
        <v>138</v>
      </c>
      <c r="C516" s="19" t="s">
        <v>319</v>
      </c>
      <c r="D516" s="19" t="s">
        <v>846</v>
      </c>
      <c r="E516" s="22" t="n">
        <v>1308</v>
      </c>
      <c r="F516" s="19"/>
      <c r="G516" s="22" t="n">
        <v>3</v>
      </c>
      <c r="H516" s="19"/>
      <c r="I516" s="23" t="s">
        <v>27</v>
      </c>
      <c r="J516" s="19" t="s">
        <v>345</v>
      </c>
    </row>
    <row r="517" customFormat="false" ht="15" hidden="false" customHeight="false" outlineLevel="0" collapsed="false">
      <c r="A517" s="19" t="s">
        <v>252</v>
      </c>
      <c r="B517" s="19" t="s">
        <v>138</v>
      </c>
      <c r="C517" s="19" t="s">
        <v>319</v>
      </c>
      <c r="D517" s="19" t="s">
        <v>847</v>
      </c>
      <c r="E517" s="22" t="n">
        <v>1135</v>
      </c>
      <c r="F517" s="19"/>
      <c r="G517" s="22" t="n">
        <v>3</v>
      </c>
      <c r="H517" s="19"/>
      <c r="I517" s="23" t="s">
        <v>27</v>
      </c>
      <c r="J517" s="19" t="s">
        <v>345</v>
      </c>
    </row>
    <row r="518" customFormat="false" ht="15" hidden="false" customHeight="false" outlineLevel="0" collapsed="false">
      <c r="A518" s="19" t="s">
        <v>246</v>
      </c>
      <c r="B518" s="19" t="s">
        <v>138</v>
      </c>
      <c r="C518" s="19" t="s">
        <v>319</v>
      </c>
      <c r="D518" s="19" t="s">
        <v>848</v>
      </c>
      <c r="E518" s="22" t="n">
        <v>2053</v>
      </c>
      <c r="F518" s="19" t="n">
        <v>4.78</v>
      </c>
      <c r="G518" s="22" t="n">
        <v>3</v>
      </c>
      <c r="H518" s="19"/>
      <c r="I518" s="23" t="s">
        <v>27</v>
      </c>
      <c r="J518" s="19" t="s">
        <v>321</v>
      </c>
    </row>
    <row r="519" customFormat="false" ht="15" hidden="false" customHeight="false" outlineLevel="0" collapsed="false">
      <c r="A519" s="19" t="s">
        <v>246</v>
      </c>
      <c r="B519" s="19" t="s">
        <v>138</v>
      </c>
      <c r="C519" s="19" t="s">
        <v>319</v>
      </c>
      <c r="D519" s="19" t="s">
        <v>849</v>
      </c>
      <c r="E519" s="22" t="n">
        <v>1376</v>
      </c>
      <c r="F519" s="19" t="n">
        <v>1.09</v>
      </c>
      <c r="G519" s="22" t="n">
        <v>3</v>
      </c>
      <c r="H519" s="19"/>
      <c r="I519" s="23" t="s">
        <v>27</v>
      </c>
      <c r="J519" s="19" t="s">
        <v>321</v>
      </c>
    </row>
    <row r="520" customFormat="false" ht="15" hidden="false" customHeight="false" outlineLevel="0" collapsed="false">
      <c r="A520" s="19" t="s">
        <v>246</v>
      </c>
      <c r="B520" s="19" t="s">
        <v>138</v>
      </c>
      <c r="C520" s="19" t="s">
        <v>367</v>
      </c>
      <c r="D520" s="19" t="s">
        <v>850</v>
      </c>
      <c r="E520" s="22" t="n">
        <v>2085</v>
      </c>
      <c r="F520" s="19" t="n">
        <v>4.51</v>
      </c>
      <c r="G520" s="22" t="n">
        <v>3</v>
      </c>
      <c r="H520" s="19"/>
      <c r="I520" s="23" t="s">
        <v>27</v>
      </c>
      <c r="J520" s="19" t="s">
        <v>388</v>
      </c>
    </row>
    <row r="521" customFormat="false" ht="15" hidden="false" customHeight="false" outlineLevel="0" collapsed="false">
      <c r="A521" s="19" t="s">
        <v>246</v>
      </c>
      <c r="B521" s="19" t="s">
        <v>138</v>
      </c>
      <c r="C521" s="19" t="s">
        <v>367</v>
      </c>
      <c r="D521" s="19" t="s">
        <v>851</v>
      </c>
      <c r="E521" s="22" t="n">
        <v>463</v>
      </c>
      <c r="F521" s="19"/>
      <c r="G521" s="22" t="n">
        <v>3</v>
      </c>
      <c r="H521" s="19"/>
      <c r="I521" s="23" t="s">
        <v>27</v>
      </c>
      <c r="J521" s="19" t="s">
        <v>388</v>
      </c>
    </row>
    <row r="522" customFormat="false" ht="15" hidden="false" customHeight="false" outlineLevel="0" collapsed="false">
      <c r="A522" s="19" t="s">
        <v>252</v>
      </c>
      <c r="B522" s="19" t="s">
        <v>138</v>
      </c>
      <c r="C522" s="19" t="s">
        <v>446</v>
      </c>
      <c r="D522" s="19" t="s">
        <v>852</v>
      </c>
      <c r="E522" s="22" t="n">
        <v>657</v>
      </c>
      <c r="F522" s="19"/>
      <c r="G522" s="22" t="n">
        <v>2</v>
      </c>
      <c r="H522" s="19"/>
      <c r="I522" s="23" t="s">
        <v>27</v>
      </c>
      <c r="J522" s="19" t="s">
        <v>318</v>
      </c>
    </row>
    <row r="523" customFormat="false" ht="15" hidden="false" customHeight="false" outlineLevel="0" collapsed="false">
      <c r="A523" s="19" t="s">
        <v>252</v>
      </c>
      <c r="B523" s="19" t="s">
        <v>138</v>
      </c>
      <c r="C523" s="19" t="s">
        <v>319</v>
      </c>
      <c r="D523" s="19" t="s">
        <v>853</v>
      </c>
      <c r="E523" s="22" t="n">
        <v>574</v>
      </c>
      <c r="F523" s="19" t="n">
        <v>0.99</v>
      </c>
      <c r="G523" s="22" t="n">
        <v>2</v>
      </c>
      <c r="H523" s="19"/>
      <c r="I523" s="23" t="s">
        <v>27</v>
      </c>
      <c r="J523" s="19" t="s">
        <v>364</v>
      </c>
    </row>
    <row r="524" customFormat="false" ht="15" hidden="false" customHeight="false" outlineLevel="0" collapsed="false">
      <c r="A524" s="19" t="s">
        <v>249</v>
      </c>
      <c r="B524" s="19" t="s">
        <v>272</v>
      </c>
      <c r="C524" s="19" t="s">
        <v>365</v>
      </c>
      <c r="D524" s="19" t="s">
        <v>854</v>
      </c>
      <c r="E524" s="22" t="n">
        <v>3023</v>
      </c>
      <c r="F524" s="19" t="n">
        <v>29.9</v>
      </c>
      <c r="G524" s="22" t="n">
        <v>2</v>
      </c>
      <c r="H524" s="19"/>
      <c r="I524" s="23" t="s">
        <v>27</v>
      </c>
      <c r="J524" s="19" t="s">
        <v>370</v>
      </c>
    </row>
    <row r="525" customFormat="false" ht="15" hidden="false" customHeight="false" outlineLevel="0" collapsed="false">
      <c r="A525" s="19" t="s">
        <v>246</v>
      </c>
      <c r="B525" s="19" t="s">
        <v>138</v>
      </c>
      <c r="C525" s="19" t="s">
        <v>446</v>
      </c>
      <c r="D525" s="19" t="s">
        <v>855</v>
      </c>
      <c r="E525" s="22" t="n">
        <v>1274</v>
      </c>
      <c r="F525" s="19" t="n">
        <v>1.09</v>
      </c>
      <c r="G525" s="22" t="n">
        <v>2</v>
      </c>
      <c r="H525" s="19"/>
      <c r="I525" s="23" t="s">
        <v>27</v>
      </c>
      <c r="J525" s="19" t="s">
        <v>372</v>
      </c>
    </row>
    <row r="526" customFormat="false" ht="15" hidden="false" customHeight="false" outlineLevel="0" collapsed="false">
      <c r="A526" s="19" t="s">
        <v>246</v>
      </c>
      <c r="B526" s="19" t="s">
        <v>244</v>
      </c>
      <c r="C526" s="19" t="s">
        <v>365</v>
      </c>
      <c r="D526" s="19" t="s">
        <v>856</v>
      </c>
      <c r="E526" s="22" t="n">
        <v>1897</v>
      </c>
      <c r="F526" s="19" t="n">
        <v>1.09</v>
      </c>
      <c r="G526" s="22" t="n">
        <v>2</v>
      </c>
      <c r="H526" s="19"/>
      <c r="I526" s="23" t="s">
        <v>27</v>
      </c>
      <c r="J526" s="19" t="s">
        <v>372</v>
      </c>
    </row>
    <row r="527" customFormat="false" ht="15" hidden="false" customHeight="false" outlineLevel="0" collapsed="false">
      <c r="A527" s="19" t="s">
        <v>246</v>
      </c>
      <c r="B527" s="19" t="s">
        <v>284</v>
      </c>
      <c r="C527" s="19" t="s">
        <v>365</v>
      </c>
      <c r="D527" s="19" t="s">
        <v>857</v>
      </c>
      <c r="E527" s="22" t="n">
        <v>843</v>
      </c>
      <c r="F527" s="19"/>
      <c r="G527" s="22" t="n">
        <v>2</v>
      </c>
      <c r="H527" s="19"/>
      <c r="I527" s="23" t="s">
        <v>27</v>
      </c>
      <c r="J527" s="19" t="s">
        <v>372</v>
      </c>
    </row>
    <row r="528" customFormat="false" ht="15" hidden="false" customHeight="false" outlineLevel="0" collapsed="false">
      <c r="A528" s="19" t="s">
        <v>246</v>
      </c>
      <c r="B528" s="19" t="s">
        <v>138</v>
      </c>
      <c r="C528" s="19" t="s">
        <v>446</v>
      </c>
      <c r="D528" s="19" t="s">
        <v>858</v>
      </c>
      <c r="E528" s="22" t="n">
        <v>871</v>
      </c>
      <c r="F528" s="19" t="n">
        <v>1.09</v>
      </c>
      <c r="G528" s="22" t="n">
        <v>2</v>
      </c>
      <c r="H528" s="19"/>
      <c r="I528" s="23" t="s">
        <v>27</v>
      </c>
      <c r="J528" s="19" t="s">
        <v>372</v>
      </c>
    </row>
    <row r="529" customFormat="false" ht="15" hidden="false" customHeight="false" outlineLevel="0" collapsed="false">
      <c r="A529" s="19" t="s">
        <v>246</v>
      </c>
      <c r="B529" s="19" t="s">
        <v>254</v>
      </c>
      <c r="C529" s="19" t="s">
        <v>365</v>
      </c>
      <c r="D529" s="19" t="s">
        <v>859</v>
      </c>
      <c r="E529" s="22" t="n">
        <v>978</v>
      </c>
      <c r="F529" s="19" t="n">
        <v>1.09</v>
      </c>
      <c r="G529" s="22" t="n">
        <v>2</v>
      </c>
      <c r="H529" s="19"/>
      <c r="I529" s="23" t="s">
        <v>27</v>
      </c>
      <c r="J529" s="19" t="s">
        <v>372</v>
      </c>
    </row>
    <row r="530" customFormat="false" ht="15" hidden="false" customHeight="false" outlineLevel="0" collapsed="false">
      <c r="A530" s="19" t="s">
        <v>246</v>
      </c>
      <c r="B530" s="19" t="s">
        <v>277</v>
      </c>
      <c r="C530" s="19" t="s">
        <v>365</v>
      </c>
      <c r="D530" s="19" t="s">
        <v>860</v>
      </c>
      <c r="E530" s="22" t="n">
        <v>3043</v>
      </c>
      <c r="F530" s="19" t="n">
        <v>1.09</v>
      </c>
      <c r="G530" s="22" t="n">
        <v>2</v>
      </c>
      <c r="H530" s="19"/>
      <c r="I530" s="23" t="s">
        <v>27</v>
      </c>
      <c r="J530" s="19" t="s">
        <v>372</v>
      </c>
    </row>
    <row r="531" customFormat="false" ht="15" hidden="false" customHeight="false" outlineLevel="0" collapsed="false">
      <c r="A531" s="19" t="s">
        <v>246</v>
      </c>
      <c r="B531" s="19" t="s">
        <v>244</v>
      </c>
      <c r="C531" s="19" t="s">
        <v>365</v>
      </c>
      <c r="D531" s="19" t="s">
        <v>861</v>
      </c>
      <c r="E531" s="22" t="n">
        <v>1235</v>
      </c>
      <c r="F531" s="19"/>
      <c r="G531" s="22" t="n">
        <v>2</v>
      </c>
      <c r="H531" s="19"/>
      <c r="I531" s="23" t="s">
        <v>27</v>
      </c>
      <c r="J531" s="19" t="s">
        <v>372</v>
      </c>
    </row>
    <row r="532" customFormat="false" ht="15" hidden="false" customHeight="false" outlineLevel="0" collapsed="false">
      <c r="A532" s="19" t="s">
        <v>246</v>
      </c>
      <c r="B532" s="19" t="s">
        <v>244</v>
      </c>
      <c r="C532" s="19" t="s">
        <v>365</v>
      </c>
      <c r="D532" s="19" t="s">
        <v>862</v>
      </c>
      <c r="E532" s="22" t="n">
        <v>1281</v>
      </c>
      <c r="F532" s="19"/>
      <c r="G532" s="22" t="n">
        <v>2</v>
      </c>
      <c r="H532" s="19"/>
      <c r="I532" s="23" t="s">
        <v>27</v>
      </c>
      <c r="J532" s="19" t="s">
        <v>372</v>
      </c>
    </row>
    <row r="533" customFormat="false" ht="15" hidden="false" customHeight="false" outlineLevel="0" collapsed="false">
      <c r="A533" s="19" t="s">
        <v>246</v>
      </c>
      <c r="B533" s="19" t="s">
        <v>138</v>
      </c>
      <c r="C533" s="19" t="s">
        <v>367</v>
      </c>
      <c r="D533" s="19" t="s">
        <v>863</v>
      </c>
      <c r="E533" s="22" t="n">
        <v>1622</v>
      </c>
      <c r="F533" s="19" t="n">
        <v>3.86</v>
      </c>
      <c r="G533" s="22" t="n">
        <v>2</v>
      </c>
      <c r="H533" s="19"/>
      <c r="I533" s="23" t="s">
        <v>27</v>
      </c>
      <c r="J533" s="19" t="s">
        <v>422</v>
      </c>
    </row>
    <row r="534" customFormat="false" ht="15" hidden="false" customHeight="false" outlineLevel="0" collapsed="false">
      <c r="A534" s="19" t="s">
        <v>246</v>
      </c>
      <c r="B534" s="19" t="s">
        <v>138</v>
      </c>
      <c r="C534" s="19" t="s">
        <v>530</v>
      </c>
      <c r="D534" s="19" t="s">
        <v>864</v>
      </c>
      <c r="E534" s="22" t="n">
        <v>1596</v>
      </c>
      <c r="F534" s="19"/>
      <c r="G534" s="22" t="n">
        <v>2</v>
      </c>
      <c r="H534" s="19"/>
      <c r="I534" s="23" t="s">
        <v>27</v>
      </c>
      <c r="J534" s="19" t="s">
        <v>422</v>
      </c>
    </row>
    <row r="535" customFormat="false" ht="15" hidden="false" customHeight="false" outlineLevel="0" collapsed="false">
      <c r="A535" s="19" t="s">
        <v>246</v>
      </c>
      <c r="B535" s="19" t="s">
        <v>244</v>
      </c>
      <c r="C535" s="19" t="s">
        <v>365</v>
      </c>
      <c r="D535" s="19" t="s">
        <v>865</v>
      </c>
      <c r="E535" s="22" t="n">
        <v>1385</v>
      </c>
      <c r="F535" s="19"/>
      <c r="G535" s="22" t="n">
        <v>2</v>
      </c>
      <c r="H535" s="19"/>
      <c r="I535" s="23" t="s">
        <v>27</v>
      </c>
      <c r="J535" s="19" t="s">
        <v>422</v>
      </c>
    </row>
    <row r="536" customFormat="false" ht="15" hidden="false" customHeight="false" outlineLevel="0" collapsed="false">
      <c r="A536" s="19" t="s">
        <v>246</v>
      </c>
      <c r="B536" s="19" t="s">
        <v>138</v>
      </c>
      <c r="C536" s="19" t="s">
        <v>446</v>
      </c>
      <c r="D536" s="19" t="s">
        <v>866</v>
      </c>
      <c r="E536" s="22" t="n">
        <v>1604</v>
      </c>
      <c r="F536" s="19"/>
      <c r="G536" s="22" t="n">
        <v>2</v>
      </c>
      <c r="H536" s="19"/>
      <c r="I536" s="23" t="s">
        <v>27</v>
      </c>
      <c r="J536" s="19" t="s">
        <v>422</v>
      </c>
    </row>
    <row r="537" customFormat="false" ht="15" hidden="false" customHeight="false" outlineLevel="0" collapsed="false">
      <c r="A537" s="19" t="s">
        <v>246</v>
      </c>
      <c r="B537" s="19" t="s">
        <v>315</v>
      </c>
      <c r="C537" s="19" t="s">
        <v>316</v>
      </c>
      <c r="D537" s="19" t="s">
        <v>867</v>
      </c>
      <c r="E537" s="22" t="n">
        <v>1825</v>
      </c>
      <c r="F537" s="19" t="n">
        <v>15.67</v>
      </c>
      <c r="G537" s="22" t="n">
        <v>2</v>
      </c>
      <c r="H537" s="19"/>
      <c r="I537" s="23" t="s">
        <v>27</v>
      </c>
      <c r="J537" s="19" t="s">
        <v>422</v>
      </c>
    </row>
    <row r="538" customFormat="false" ht="15" hidden="false" customHeight="false" outlineLevel="0" collapsed="false">
      <c r="A538" s="19" t="s">
        <v>246</v>
      </c>
      <c r="B538" s="19" t="s">
        <v>244</v>
      </c>
      <c r="C538" s="19" t="s">
        <v>365</v>
      </c>
      <c r="D538" s="19" t="s">
        <v>868</v>
      </c>
      <c r="E538" s="22" t="n">
        <v>2022</v>
      </c>
      <c r="F538" s="19" t="n">
        <v>14.16</v>
      </c>
      <c r="G538" s="22" t="n">
        <v>2</v>
      </c>
      <c r="H538" s="19"/>
      <c r="I538" s="23" t="s">
        <v>27</v>
      </c>
      <c r="J538" s="19" t="s">
        <v>323</v>
      </c>
    </row>
    <row r="539" customFormat="false" ht="15" hidden="false" customHeight="false" outlineLevel="0" collapsed="false">
      <c r="A539" s="19" t="s">
        <v>246</v>
      </c>
      <c r="B539" s="19" t="s">
        <v>277</v>
      </c>
      <c r="C539" s="19" t="s">
        <v>365</v>
      </c>
      <c r="D539" s="19" t="s">
        <v>869</v>
      </c>
      <c r="E539" s="22" t="n">
        <v>979</v>
      </c>
      <c r="F539" s="19" t="n">
        <v>0.99</v>
      </c>
      <c r="G539" s="22" t="n">
        <v>2</v>
      </c>
      <c r="H539" s="19"/>
      <c r="I539" s="23" t="s">
        <v>27</v>
      </c>
      <c r="J539" s="19" t="s">
        <v>323</v>
      </c>
    </row>
    <row r="540" customFormat="false" ht="15" hidden="false" customHeight="false" outlineLevel="0" collapsed="false">
      <c r="A540" s="19" t="s">
        <v>246</v>
      </c>
      <c r="B540" s="19" t="s">
        <v>138</v>
      </c>
      <c r="C540" s="19" t="s">
        <v>367</v>
      </c>
      <c r="D540" s="19" t="s">
        <v>870</v>
      </c>
      <c r="E540" s="22" t="n">
        <v>782</v>
      </c>
      <c r="F540" s="19"/>
      <c r="G540" s="22" t="n">
        <v>2</v>
      </c>
      <c r="H540" s="19"/>
      <c r="I540" s="23" t="s">
        <v>27</v>
      </c>
      <c r="J540" s="19" t="s">
        <v>323</v>
      </c>
    </row>
    <row r="541" customFormat="false" ht="15" hidden="false" customHeight="false" outlineLevel="0" collapsed="false">
      <c r="A541" s="19" t="s">
        <v>246</v>
      </c>
      <c r="B541" s="19" t="s">
        <v>138</v>
      </c>
      <c r="C541" s="19" t="s">
        <v>367</v>
      </c>
      <c r="D541" s="19" t="s">
        <v>871</v>
      </c>
      <c r="E541" s="22" t="n">
        <v>386</v>
      </c>
      <c r="F541" s="19"/>
      <c r="G541" s="22" t="n">
        <v>2</v>
      </c>
      <c r="H541" s="19"/>
      <c r="I541" s="23" t="s">
        <v>27</v>
      </c>
      <c r="J541" s="19" t="s">
        <v>326</v>
      </c>
    </row>
    <row r="542" customFormat="false" ht="15" hidden="false" customHeight="false" outlineLevel="0" collapsed="false">
      <c r="A542" s="19" t="s">
        <v>246</v>
      </c>
      <c r="B542" s="19" t="s">
        <v>138</v>
      </c>
      <c r="C542" s="19" t="s">
        <v>367</v>
      </c>
      <c r="D542" s="19" t="s">
        <v>818</v>
      </c>
      <c r="E542" s="22" t="n">
        <v>1967</v>
      </c>
      <c r="F542" s="19" t="n">
        <v>5.21</v>
      </c>
      <c r="G542" s="22" t="n">
        <v>2</v>
      </c>
      <c r="H542" s="19"/>
      <c r="I542" s="23" t="s">
        <v>27</v>
      </c>
      <c r="J542" s="19" t="s">
        <v>326</v>
      </c>
    </row>
    <row r="543" customFormat="false" ht="15" hidden="false" customHeight="false" outlineLevel="0" collapsed="false">
      <c r="A543" s="19" t="s">
        <v>246</v>
      </c>
      <c r="B543" s="19" t="s">
        <v>138</v>
      </c>
      <c r="C543" s="19" t="s">
        <v>367</v>
      </c>
      <c r="D543" s="19" t="s">
        <v>871</v>
      </c>
      <c r="E543" s="22" t="n">
        <v>458</v>
      </c>
      <c r="F543" s="19"/>
      <c r="G543" s="22" t="n">
        <v>2</v>
      </c>
      <c r="H543" s="19"/>
      <c r="I543" s="23" t="s">
        <v>27</v>
      </c>
      <c r="J543" s="19" t="s">
        <v>326</v>
      </c>
    </row>
    <row r="544" customFormat="false" ht="15" hidden="false" customHeight="false" outlineLevel="0" collapsed="false">
      <c r="A544" s="19" t="s">
        <v>246</v>
      </c>
      <c r="B544" s="19" t="s">
        <v>254</v>
      </c>
      <c r="C544" s="19" t="s">
        <v>365</v>
      </c>
      <c r="D544" s="19" t="s">
        <v>655</v>
      </c>
      <c r="E544" s="22" t="n">
        <v>559</v>
      </c>
      <c r="F544" s="19"/>
      <c r="G544" s="22" t="n">
        <v>2</v>
      </c>
      <c r="H544" s="19"/>
      <c r="I544" s="23" t="s">
        <v>27</v>
      </c>
      <c r="J544" s="19" t="s">
        <v>351</v>
      </c>
    </row>
    <row r="545" customFormat="false" ht="15" hidden="false" customHeight="false" outlineLevel="0" collapsed="false">
      <c r="A545" s="19" t="s">
        <v>246</v>
      </c>
      <c r="B545" s="19" t="s">
        <v>254</v>
      </c>
      <c r="C545" s="19" t="s">
        <v>365</v>
      </c>
      <c r="D545" s="19" t="s">
        <v>608</v>
      </c>
      <c r="E545" s="22" t="n">
        <v>1831</v>
      </c>
      <c r="F545" s="19" t="n">
        <v>3.31</v>
      </c>
      <c r="G545" s="22" t="n">
        <v>2</v>
      </c>
      <c r="H545" s="19"/>
      <c r="I545" s="23" t="s">
        <v>27</v>
      </c>
      <c r="J545" s="19" t="s">
        <v>351</v>
      </c>
    </row>
    <row r="546" customFormat="false" ht="15" hidden="false" customHeight="false" outlineLevel="0" collapsed="false">
      <c r="A546" s="19" t="s">
        <v>246</v>
      </c>
      <c r="B546" s="19" t="s">
        <v>254</v>
      </c>
      <c r="C546" s="19" t="s">
        <v>365</v>
      </c>
      <c r="D546" s="19" t="s">
        <v>872</v>
      </c>
      <c r="E546" s="22" t="n">
        <v>1627</v>
      </c>
      <c r="F546" s="19" t="n">
        <v>1.95</v>
      </c>
      <c r="G546" s="22" t="n">
        <v>2</v>
      </c>
      <c r="H546" s="19"/>
      <c r="I546" s="23" t="s">
        <v>27</v>
      </c>
      <c r="J546" s="19" t="s">
        <v>351</v>
      </c>
    </row>
    <row r="547" customFormat="false" ht="15" hidden="false" customHeight="false" outlineLevel="0" collapsed="false">
      <c r="A547" s="19" t="s">
        <v>246</v>
      </c>
      <c r="B547" s="19" t="s">
        <v>267</v>
      </c>
      <c r="C547" s="19" t="s">
        <v>365</v>
      </c>
      <c r="D547" s="19" t="s">
        <v>873</v>
      </c>
      <c r="E547" s="22" t="n">
        <v>8198</v>
      </c>
      <c r="F547" s="19"/>
      <c r="G547" s="22" t="n">
        <v>2</v>
      </c>
      <c r="H547" s="19"/>
      <c r="I547" s="23" t="s">
        <v>27</v>
      </c>
      <c r="J547" s="19" t="s">
        <v>430</v>
      </c>
    </row>
    <row r="548" customFormat="false" ht="15" hidden="false" customHeight="false" outlineLevel="0" collapsed="false">
      <c r="A548" s="19" t="s">
        <v>332</v>
      </c>
      <c r="B548" s="19" t="s">
        <v>267</v>
      </c>
      <c r="C548" s="19" t="s">
        <v>365</v>
      </c>
      <c r="D548" s="19" t="s">
        <v>874</v>
      </c>
      <c r="E548" s="22" t="n">
        <v>2097</v>
      </c>
      <c r="F548" s="19" t="n">
        <v>18.91</v>
      </c>
      <c r="G548" s="22" t="n">
        <v>2</v>
      </c>
      <c r="H548" s="19"/>
      <c r="I548" s="23" t="s">
        <v>27</v>
      </c>
      <c r="J548" s="19" t="s">
        <v>430</v>
      </c>
    </row>
    <row r="549" customFormat="false" ht="15" hidden="false" customHeight="false" outlineLevel="0" collapsed="false">
      <c r="A549" s="19" t="s">
        <v>249</v>
      </c>
      <c r="B549" s="19" t="s">
        <v>315</v>
      </c>
      <c r="C549" s="19" t="s">
        <v>316</v>
      </c>
      <c r="D549" s="19" t="s">
        <v>875</v>
      </c>
      <c r="E549" s="22" t="n">
        <v>960</v>
      </c>
      <c r="F549" s="19"/>
      <c r="G549" s="22" t="n">
        <v>2</v>
      </c>
      <c r="H549" s="19"/>
      <c r="I549" s="23" t="s">
        <v>27</v>
      </c>
      <c r="J549" s="19" t="s">
        <v>428</v>
      </c>
    </row>
    <row r="550" customFormat="false" ht="15" hidden="false" customHeight="false" outlineLevel="0" collapsed="false">
      <c r="A550" s="19" t="s">
        <v>249</v>
      </c>
      <c r="B550" s="19" t="s">
        <v>138</v>
      </c>
      <c r="C550" s="19" t="s">
        <v>367</v>
      </c>
      <c r="D550" s="19" t="s">
        <v>876</v>
      </c>
      <c r="E550" s="22" t="n">
        <v>1321</v>
      </c>
      <c r="F550" s="19"/>
      <c r="G550" s="22" t="n">
        <v>2</v>
      </c>
      <c r="H550" s="19"/>
      <c r="I550" s="23" t="s">
        <v>27</v>
      </c>
      <c r="J550" s="19" t="s">
        <v>428</v>
      </c>
    </row>
    <row r="551" customFormat="false" ht="15" hidden="false" customHeight="false" outlineLevel="0" collapsed="false">
      <c r="A551" s="19" t="s">
        <v>252</v>
      </c>
      <c r="B551" s="19" t="s">
        <v>138</v>
      </c>
      <c r="C551" s="19" t="s">
        <v>319</v>
      </c>
      <c r="D551" s="19" t="s">
        <v>877</v>
      </c>
      <c r="E551" s="22" t="n">
        <v>1190</v>
      </c>
      <c r="F551" s="19" t="n">
        <v>1.09</v>
      </c>
      <c r="G551" s="22" t="n">
        <v>2</v>
      </c>
      <c r="H551" s="19"/>
      <c r="I551" s="23" t="s">
        <v>27</v>
      </c>
      <c r="J551" s="19" t="s">
        <v>345</v>
      </c>
    </row>
    <row r="552" customFormat="false" ht="15" hidden="false" customHeight="false" outlineLevel="0" collapsed="false">
      <c r="A552" s="19" t="s">
        <v>252</v>
      </c>
      <c r="B552" s="19" t="s">
        <v>138</v>
      </c>
      <c r="C552" s="19" t="s">
        <v>319</v>
      </c>
      <c r="D552" s="19" t="s">
        <v>878</v>
      </c>
      <c r="E552" s="22" t="n">
        <v>863</v>
      </c>
      <c r="F552" s="19"/>
      <c r="G552" s="22" t="n">
        <v>2</v>
      </c>
      <c r="H552" s="19"/>
      <c r="I552" s="23" t="s">
        <v>27</v>
      </c>
      <c r="J552" s="19" t="s">
        <v>345</v>
      </c>
    </row>
    <row r="553" customFormat="false" ht="15" hidden="false" customHeight="false" outlineLevel="0" collapsed="false">
      <c r="A553" s="19" t="s">
        <v>252</v>
      </c>
      <c r="B553" s="19" t="s">
        <v>138</v>
      </c>
      <c r="C553" s="19" t="s">
        <v>319</v>
      </c>
      <c r="D553" s="19" t="s">
        <v>879</v>
      </c>
      <c r="E553" s="22" t="n">
        <v>453</v>
      </c>
      <c r="F553" s="19"/>
      <c r="G553" s="22" t="n">
        <v>2</v>
      </c>
      <c r="H553" s="19"/>
      <c r="I553" s="23" t="s">
        <v>27</v>
      </c>
      <c r="J553" s="19" t="s">
        <v>345</v>
      </c>
    </row>
    <row r="554" customFormat="false" ht="15" hidden="false" customHeight="false" outlineLevel="0" collapsed="false">
      <c r="A554" s="19" t="s">
        <v>246</v>
      </c>
      <c r="B554" s="19" t="s">
        <v>138</v>
      </c>
      <c r="C554" s="19" t="s">
        <v>319</v>
      </c>
      <c r="D554" s="19" t="s">
        <v>880</v>
      </c>
      <c r="E554" s="22" t="n">
        <v>1014</v>
      </c>
      <c r="F554" s="19"/>
      <c r="G554" s="22" t="n">
        <v>2</v>
      </c>
      <c r="H554" s="19"/>
      <c r="I554" s="23" t="s">
        <v>27</v>
      </c>
      <c r="J554" s="19" t="s">
        <v>321</v>
      </c>
    </row>
    <row r="555" customFormat="false" ht="15" hidden="false" customHeight="false" outlineLevel="0" collapsed="false">
      <c r="A555" s="19" t="s">
        <v>246</v>
      </c>
      <c r="B555" s="19" t="s">
        <v>138</v>
      </c>
      <c r="C555" s="19" t="s">
        <v>446</v>
      </c>
      <c r="D555" s="19" t="s">
        <v>881</v>
      </c>
      <c r="E555" s="22" t="n">
        <v>1836</v>
      </c>
      <c r="F555" s="19" t="n">
        <v>3.12</v>
      </c>
      <c r="G555" s="22" t="n">
        <v>2</v>
      </c>
      <c r="H555" s="19"/>
      <c r="I555" s="23" t="s">
        <v>27</v>
      </c>
      <c r="J555" s="19" t="s">
        <v>388</v>
      </c>
    </row>
    <row r="556" customFormat="false" ht="15" hidden="false" customHeight="false" outlineLevel="0" collapsed="false">
      <c r="A556" s="19" t="s">
        <v>246</v>
      </c>
      <c r="B556" s="19" t="s">
        <v>277</v>
      </c>
      <c r="C556" s="19" t="s">
        <v>365</v>
      </c>
      <c r="D556" s="19" t="s">
        <v>882</v>
      </c>
      <c r="E556" s="22" t="n">
        <v>866</v>
      </c>
      <c r="F556" s="19"/>
      <c r="G556" s="22" t="n">
        <v>2</v>
      </c>
      <c r="H556" s="19"/>
      <c r="I556" s="23" t="s">
        <v>27</v>
      </c>
      <c r="J556" s="19" t="s">
        <v>388</v>
      </c>
    </row>
    <row r="557" customFormat="false" ht="15" hidden="false" customHeight="false" outlineLevel="0" collapsed="false">
      <c r="A557" s="19" t="s">
        <v>246</v>
      </c>
      <c r="B557" s="19" t="s">
        <v>138</v>
      </c>
      <c r="C557" s="19" t="s">
        <v>367</v>
      </c>
      <c r="D557" s="19" t="s">
        <v>883</v>
      </c>
      <c r="E557" s="22" t="n">
        <v>789</v>
      </c>
      <c r="F557" s="19" t="n">
        <v>2.24</v>
      </c>
      <c r="G557" s="22" t="n">
        <v>2</v>
      </c>
      <c r="H557" s="19"/>
      <c r="I557" s="23" t="s">
        <v>27</v>
      </c>
      <c r="J557" s="19" t="s">
        <v>388</v>
      </c>
    </row>
    <row r="558" customFormat="false" ht="15" hidden="false" customHeight="false" outlineLevel="0" collapsed="false">
      <c r="A558" s="19" t="s">
        <v>246</v>
      </c>
      <c r="B558" s="19" t="s">
        <v>138</v>
      </c>
      <c r="C558" s="19" t="s">
        <v>367</v>
      </c>
      <c r="D558" s="19" t="s">
        <v>884</v>
      </c>
      <c r="E558" s="22" t="n">
        <v>682</v>
      </c>
      <c r="F558" s="19" t="n">
        <v>1.09</v>
      </c>
      <c r="G558" s="22" t="n">
        <v>2</v>
      </c>
      <c r="H558" s="19"/>
      <c r="I558" s="23" t="s">
        <v>27</v>
      </c>
      <c r="J558" s="19" t="s">
        <v>388</v>
      </c>
    </row>
    <row r="559" customFormat="false" ht="15" hidden="false" customHeight="false" outlineLevel="0" collapsed="false">
      <c r="A559" s="19" t="s">
        <v>246</v>
      </c>
      <c r="B559" s="19" t="s">
        <v>138</v>
      </c>
      <c r="C559" s="19" t="s">
        <v>367</v>
      </c>
      <c r="D559" s="19" t="s">
        <v>885</v>
      </c>
      <c r="E559" s="22" t="n">
        <v>1337</v>
      </c>
      <c r="F559" s="19"/>
      <c r="G559" s="22" t="n">
        <v>2</v>
      </c>
      <c r="H559" s="19"/>
      <c r="I559" s="23" t="s">
        <v>27</v>
      </c>
      <c r="J559" s="19" t="s">
        <v>388</v>
      </c>
    </row>
    <row r="560" customFormat="false" ht="15" hidden="false" customHeight="false" outlineLevel="0" collapsed="false">
      <c r="A560" s="19" t="s">
        <v>249</v>
      </c>
      <c r="B560" s="19" t="s">
        <v>138</v>
      </c>
      <c r="C560" s="19" t="s">
        <v>319</v>
      </c>
      <c r="D560" s="19" t="s">
        <v>886</v>
      </c>
      <c r="E560" s="22" t="n">
        <v>2261</v>
      </c>
      <c r="F560" s="19" t="n">
        <v>7.16</v>
      </c>
      <c r="G560" s="22" t="n">
        <v>2</v>
      </c>
      <c r="H560" s="19"/>
      <c r="I560" s="23" t="s">
        <v>27</v>
      </c>
      <c r="J560" s="19" t="s">
        <v>330</v>
      </c>
    </row>
    <row r="561" customFormat="false" ht="15" hidden="false" customHeight="false" outlineLevel="0" collapsed="false">
      <c r="A561" s="19" t="s">
        <v>249</v>
      </c>
      <c r="B561" s="19" t="s">
        <v>138</v>
      </c>
      <c r="C561" s="19" t="s">
        <v>319</v>
      </c>
      <c r="D561" s="19" t="s">
        <v>887</v>
      </c>
      <c r="E561" s="22" t="n">
        <v>559</v>
      </c>
      <c r="F561" s="19"/>
      <c r="G561" s="22" t="n">
        <v>2</v>
      </c>
      <c r="H561" s="19"/>
      <c r="I561" s="23" t="s">
        <v>27</v>
      </c>
      <c r="J561" s="19" t="s">
        <v>330</v>
      </c>
    </row>
    <row r="562" customFormat="false" ht="15" hidden="false" customHeight="false" outlineLevel="0" collapsed="false">
      <c r="A562" s="19" t="s">
        <v>249</v>
      </c>
      <c r="B562" s="19" t="s">
        <v>138</v>
      </c>
      <c r="C562" s="19" t="s">
        <v>319</v>
      </c>
      <c r="D562" s="19" t="s">
        <v>888</v>
      </c>
      <c r="E562" s="22" t="n">
        <v>1816</v>
      </c>
      <c r="F562" s="19"/>
      <c r="G562" s="22" t="n">
        <v>2</v>
      </c>
      <c r="H562" s="19"/>
      <c r="I562" s="23" t="s">
        <v>27</v>
      </c>
      <c r="J562" s="19" t="s">
        <v>330</v>
      </c>
    </row>
    <row r="563" customFormat="false" ht="15" hidden="false" customHeight="false" outlineLevel="0" collapsed="false">
      <c r="A563" s="19" t="s">
        <v>252</v>
      </c>
      <c r="B563" s="19" t="s">
        <v>315</v>
      </c>
      <c r="C563" s="19" t="s">
        <v>316</v>
      </c>
      <c r="D563" s="19" t="s">
        <v>889</v>
      </c>
      <c r="E563" s="22" t="n">
        <v>844</v>
      </c>
      <c r="F563" s="19"/>
      <c r="G563" s="22" t="n">
        <v>1</v>
      </c>
      <c r="H563" s="19"/>
      <c r="I563" s="23" t="s">
        <v>27</v>
      </c>
      <c r="J563" s="19" t="s">
        <v>318</v>
      </c>
    </row>
    <row r="564" customFormat="false" ht="15" hidden="false" customHeight="false" outlineLevel="0" collapsed="false">
      <c r="A564" s="19" t="s">
        <v>252</v>
      </c>
      <c r="B564" s="19" t="s">
        <v>138</v>
      </c>
      <c r="C564" s="19" t="s">
        <v>446</v>
      </c>
      <c r="D564" s="19" t="s">
        <v>890</v>
      </c>
      <c r="E564" s="22" t="n">
        <v>540</v>
      </c>
      <c r="F564" s="19"/>
      <c r="G564" s="22" t="n">
        <v>1</v>
      </c>
      <c r="H564" s="19"/>
      <c r="I564" s="23" t="s">
        <v>27</v>
      </c>
      <c r="J564" s="19" t="s">
        <v>318</v>
      </c>
    </row>
    <row r="565" customFormat="false" ht="15" hidden="false" customHeight="false" outlineLevel="0" collapsed="false">
      <c r="A565" s="19" t="s">
        <v>252</v>
      </c>
      <c r="B565" s="19" t="s">
        <v>138</v>
      </c>
      <c r="C565" s="19" t="s">
        <v>446</v>
      </c>
      <c r="D565" s="19" t="s">
        <v>891</v>
      </c>
      <c r="E565" s="22" t="n">
        <v>631</v>
      </c>
      <c r="F565" s="19"/>
      <c r="G565" s="22" t="n">
        <v>1</v>
      </c>
      <c r="H565" s="19"/>
      <c r="I565" s="23" t="s">
        <v>27</v>
      </c>
      <c r="J565" s="19" t="s">
        <v>318</v>
      </c>
    </row>
    <row r="566" customFormat="false" ht="15" hidden="false" customHeight="false" outlineLevel="0" collapsed="false">
      <c r="A566" s="19" t="s">
        <v>252</v>
      </c>
      <c r="B566" s="19" t="s">
        <v>138</v>
      </c>
      <c r="C566" s="19" t="s">
        <v>446</v>
      </c>
      <c r="D566" s="19" t="s">
        <v>892</v>
      </c>
      <c r="E566" s="22" t="n">
        <v>1087</v>
      </c>
      <c r="F566" s="19"/>
      <c r="G566" s="22" t="n">
        <v>1</v>
      </c>
      <c r="H566" s="19"/>
      <c r="I566" s="23" t="s">
        <v>27</v>
      </c>
      <c r="J566" s="19" t="s">
        <v>318</v>
      </c>
    </row>
    <row r="567" customFormat="false" ht="15" hidden="false" customHeight="false" outlineLevel="0" collapsed="false">
      <c r="A567" s="19" t="s">
        <v>252</v>
      </c>
      <c r="B567" s="19" t="s">
        <v>138</v>
      </c>
      <c r="C567" s="19" t="s">
        <v>446</v>
      </c>
      <c r="D567" s="19" t="s">
        <v>893</v>
      </c>
      <c r="E567" s="22" t="n">
        <v>443</v>
      </c>
      <c r="F567" s="19"/>
      <c r="G567" s="22" t="n">
        <v>1</v>
      </c>
      <c r="H567" s="19"/>
      <c r="I567" s="23" t="s">
        <v>27</v>
      </c>
      <c r="J567" s="19" t="s">
        <v>318</v>
      </c>
    </row>
    <row r="568" customFormat="false" ht="15" hidden="false" customHeight="false" outlineLevel="0" collapsed="false">
      <c r="A568" s="19" t="s">
        <v>252</v>
      </c>
      <c r="B568" s="19" t="s">
        <v>138</v>
      </c>
      <c r="C568" s="19" t="s">
        <v>446</v>
      </c>
      <c r="D568" s="19" t="s">
        <v>894</v>
      </c>
      <c r="E568" s="22" t="n">
        <v>797</v>
      </c>
      <c r="F568" s="19"/>
      <c r="G568" s="22" t="n">
        <v>1</v>
      </c>
      <c r="H568" s="19"/>
      <c r="I568" s="23" t="s">
        <v>27</v>
      </c>
      <c r="J568" s="19" t="s">
        <v>318</v>
      </c>
    </row>
    <row r="569" customFormat="false" ht="15" hidden="false" customHeight="false" outlineLevel="0" collapsed="false">
      <c r="A569" s="19" t="s">
        <v>252</v>
      </c>
      <c r="B569" s="19" t="s">
        <v>138</v>
      </c>
      <c r="C569" s="19" t="s">
        <v>446</v>
      </c>
      <c r="D569" s="19" t="s">
        <v>895</v>
      </c>
      <c r="E569" s="22" t="n">
        <v>1081</v>
      </c>
      <c r="F569" s="19"/>
      <c r="G569" s="22" t="n">
        <v>1</v>
      </c>
      <c r="H569" s="19"/>
      <c r="I569" s="23" t="s">
        <v>27</v>
      </c>
      <c r="J569" s="19" t="s">
        <v>318</v>
      </c>
    </row>
    <row r="570" customFormat="false" ht="15" hidden="false" customHeight="false" outlineLevel="0" collapsed="false">
      <c r="A570" s="19" t="s">
        <v>252</v>
      </c>
      <c r="B570" s="19" t="s">
        <v>138</v>
      </c>
      <c r="C570" s="19" t="s">
        <v>367</v>
      </c>
      <c r="D570" s="19" t="s">
        <v>896</v>
      </c>
      <c r="E570" s="22" t="n">
        <v>939</v>
      </c>
      <c r="F570" s="19" t="n">
        <v>1.09</v>
      </c>
      <c r="G570" s="22" t="n">
        <v>1</v>
      </c>
      <c r="H570" s="19"/>
      <c r="I570" s="23" t="s">
        <v>27</v>
      </c>
      <c r="J570" s="19" t="s">
        <v>414</v>
      </c>
    </row>
    <row r="571" customFormat="false" ht="15" hidden="false" customHeight="false" outlineLevel="0" collapsed="false">
      <c r="A571" s="19" t="s">
        <v>252</v>
      </c>
      <c r="B571" s="19" t="s">
        <v>138</v>
      </c>
      <c r="C571" s="19" t="s">
        <v>319</v>
      </c>
      <c r="D571" s="19" t="s">
        <v>897</v>
      </c>
      <c r="E571" s="22" t="n">
        <v>279</v>
      </c>
      <c r="F571" s="19"/>
      <c r="G571" s="22" t="n">
        <v>1</v>
      </c>
      <c r="H571" s="19"/>
      <c r="I571" s="23" t="s">
        <v>27</v>
      </c>
      <c r="J571" s="19" t="s">
        <v>390</v>
      </c>
    </row>
    <row r="572" customFormat="false" ht="15" hidden="false" customHeight="false" outlineLevel="0" collapsed="false">
      <c r="A572" s="19" t="s">
        <v>252</v>
      </c>
      <c r="B572" s="19" t="s">
        <v>267</v>
      </c>
      <c r="C572" s="19" t="s">
        <v>365</v>
      </c>
      <c r="D572" s="19" t="s">
        <v>775</v>
      </c>
      <c r="E572" s="22" t="n">
        <v>866</v>
      </c>
      <c r="F572" s="19"/>
      <c r="G572" s="22" t="n">
        <v>1</v>
      </c>
      <c r="H572" s="19"/>
      <c r="I572" s="23" t="s">
        <v>27</v>
      </c>
      <c r="J572" s="19" t="s">
        <v>479</v>
      </c>
    </row>
    <row r="573" customFormat="false" ht="15" hidden="false" customHeight="false" outlineLevel="0" collapsed="false">
      <c r="A573" s="19" t="s">
        <v>252</v>
      </c>
      <c r="B573" s="19" t="s">
        <v>267</v>
      </c>
      <c r="C573" s="19" t="s">
        <v>365</v>
      </c>
      <c r="D573" s="19" t="s">
        <v>898</v>
      </c>
      <c r="E573" s="22" t="n">
        <v>467</v>
      </c>
      <c r="F573" s="19" t="n">
        <v>1.09</v>
      </c>
      <c r="G573" s="22" t="n">
        <v>1</v>
      </c>
      <c r="H573" s="19"/>
      <c r="I573" s="23" t="s">
        <v>27</v>
      </c>
      <c r="J573" s="19" t="s">
        <v>479</v>
      </c>
    </row>
    <row r="574" customFormat="false" ht="15" hidden="false" customHeight="false" outlineLevel="0" collapsed="false">
      <c r="A574" s="19" t="s">
        <v>246</v>
      </c>
      <c r="B574" s="19" t="s">
        <v>277</v>
      </c>
      <c r="C574" s="19" t="s">
        <v>365</v>
      </c>
      <c r="D574" s="19" t="s">
        <v>899</v>
      </c>
      <c r="E574" s="22" t="n">
        <v>1068</v>
      </c>
      <c r="F574" s="19" t="n">
        <v>1.09</v>
      </c>
      <c r="G574" s="22" t="n">
        <v>1</v>
      </c>
      <c r="H574" s="19"/>
      <c r="I574" s="23" t="s">
        <v>27</v>
      </c>
      <c r="J574" s="19" t="s">
        <v>372</v>
      </c>
    </row>
    <row r="575" customFormat="false" ht="15" hidden="false" customHeight="false" outlineLevel="0" collapsed="false">
      <c r="A575" s="19" t="s">
        <v>246</v>
      </c>
      <c r="B575" s="19" t="s">
        <v>244</v>
      </c>
      <c r="C575" s="19" t="s">
        <v>365</v>
      </c>
      <c r="D575" s="19" t="s">
        <v>900</v>
      </c>
      <c r="E575" s="22" t="n">
        <v>981</v>
      </c>
      <c r="F575" s="19" t="n">
        <v>1.09</v>
      </c>
      <c r="G575" s="22" t="n">
        <v>1</v>
      </c>
      <c r="H575" s="19"/>
      <c r="I575" s="23" t="s">
        <v>27</v>
      </c>
      <c r="J575" s="19" t="s">
        <v>372</v>
      </c>
    </row>
    <row r="576" customFormat="false" ht="15" hidden="false" customHeight="false" outlineLevel="0" collapsed="false">
      <c r="A576" s="19" t="s">
        <v>246</v>
      </c>
      <c r="B576" s="19" t="s">
        <v>138</v>
      </c>
      <c r="C576" s="19" t="s">
        <v>446</v>
      </c>
      <c r="D576" s="19" t="s">
        <v>901</v>
      </c>
      <c r="E576" s="22" t="n">
        <v>983</v>
      </c>
      <c r="F576" s="19" t="n">
        <v>1.81</v>
      </c>
      <c r="G576" s="22" t="n">
        <v>1</v>
      </c>
      <c r="H576" s="19"/>
      <c r="I576" s="23" t="s">
        <v>27</v>
      </c>
      <c r="J576" s="19" t="s">
        <v>372</v>
      </c>
    </row>
    <row r="577" customFormat="false" ht="15" hidden="false" customHeight="false" outlineLevel="0" collapsed="false">
      <c r="A577" s="19" t="s">
        <v>249</v>
      </c>
      <c r="B577" s="19" t="s">
        <v>138</v>
      </c>
      <c r="C577" s="19" t="s">
        <v>446</v>
      </c>
      <c r="D577" s="19" t="s">
        <v>902</v>
      </c>
      <c r="E577" s="22" t="n">
        <v>884</v>
      </c>
      <c r="F577" s="19" t="n">
        <v>1.09</v>
      </c>
      <c r="G577" s="22" t="n">
        <v>1</v>
      </c>
      <c r="H577" s="19"/>
      <c r="I577" s="23" t="s">
        <v>27</v>
      </c>
      <c r="J577" s="19" t="s">
        <v>372</v>
      </c>
    </row>
    <row r="578" customFormat="false" ht="15" hidden="false" customHeight="false" outlineLevel="0" collapsed="false">
      <c r="A578" s="19" t="s">
        <v>246</v>
      </c>
      <c r="B578" s="19" t="s">
        <v>315</v>
      </c>
      <c r="C578" s="19" t="s">
        <v>316</v>
      </c>
      <c r="D578" s="19" t="s">
        <v>903</v>
      </c>
      <c r="E578" s="22" t="n">
        <v>1031</v>
      </c>
      <c r="F578" s="19" t="n">
        <v>1.09</v>
      </c>
      <c r="G578" s="22" t="n">
        <v>1</v>
      </c>
      <c r="H578" s="19"/>
      <c r="I578" s="23" t="s">
        <v>27</v>
      </c>
      <c r="J578" s="19" t="s">
        <v>372</v>
      </c>
    </row>
    <row r="579" customFormat="false" ht="15" hidden="false" customHeight="false" outlineLevel="0" collapsed="false">
      <c r="A579" s="19" t="s">
        <v>249</v>
      </c>
      <c r="B579" s="19" t="s">
        <v>138</v>
      </c>
      <c r="C579" s="19" t="s">
        <v>446</v>
      </c>
      <c r="D579" s="19" t="s">
        <v>904</v>
      </c>
      <c r="E579" s="22" t="n">
        <v>851</v>
      </c>
      <c r="F579" s="19" t="n">
        <v>1.09</v>
      </c>
      <c r="G579" s="22" t="n">
        <v>1</v>
      </c>
      <c r="H579" s="19"/>
      <c r="I579" s="23" t="s">
        <v>27</v>
      </c>
      <c r="J579" s="19" t="s">
        <v>372</v>
      </c>
    </row>
    <row r="580" customFormat="false" ht="15" hidden="false" customHeight="false" outlineLevel="0" collapsed="false">
      <c r="A580" s="19" t="s">
        <v>246</v>
      </c>
      <c r="B580" s="19" t="s">
        <v>138</v>
      </c>
      <c r="C580" s="19" t="s">
        <v>446</v>
      </c>
      <c r="D580" s="19" t="s">
        <v>905</v>
      </c>
      <c r="E580" s="22" t="n">
        <v>1063</v>
      </c>
      <c r="F580" s="19" t="n">
        <v>2.76</v>
      </c>
      <c r="G580" s="22" t="n">
        <v>1</v>
      </c>
      <c r="H580" s="19"/>
      <c r="I580" s="23" t="s">
        <v>27</v>
      </c>
      <c r="J580" s="19" t="s">
        <v>372</v>
      </c>
    </row>
    <row r="581" customFormat="false" ht="15" hidden="false" customHeight="false" outlineLevel="0" collapsed="false">
      <c r="A581" s="19" t="s">
        <v>246</v>
      </c>
      <c r="B581" s="19" t="s">
        <v>138</v>
      </c>
      <c r="C581" s="19" t="s">
        <v>319</v>
      </c>
      <c r="D581" s="19" t="s">
        <v>906</v>
      </c>
      <c r="E581" s="22" t="n">
        <v>1604</v>
      </c>
      <c r="F581" s="19"/>
      <c r="G581" s="22" t="n">
        <v>1</v>
      </c>
      <c r="H581" s="19"/>
      <c r="I581" s="23" t="s">
        <v>27</v>
      </c>
      <c r="J581" s="19" t="s">
        <v>372</v>
      </c>
    </row>
    <row r="582" customFormat="false" ht="15" hidden="false" customHeight="false" outlineLevel="0" collapsed="false">
      <c r="A582" s="19" t="s">
        <v>246</v>
      </c>
      <c r="B582" s="19" t="s">
        <v>277</v>
      </c>
      <c r="C582" s="19" t="s">
        <v>365</v>
      </c>
      <c r="D582" s="19" t="s">
        <v>907</v>
      </c>
      <c r="E582" s="22" t="n">
        <v>942</v>
      </c>
      <c r="F582" s="19" t="n">
        <v>5.19</v>
      </c>
      <c r="G582" s="22" t="n">
        <v>1</v>
      </c>
      <c r="H582" s="19"/>
      <c r="I582" s="23" t="s">
        <v>27</v>
      </c>
      <c r="J582" s="19" t="s">
        <v>422</v>
      </c>
    </row>
    <row r="583" customFormat="false" ht="15" hidden="false" customHeight="false" outlineLevel="0" collapsed="false">
      <c r="A583" s="19" t="s">
        <v>246</v>
      </c>
      <c r="B583" s="19" t="s">
        <v>315</v>
      </c>
      <c r="C583" s="19" t="s">
        <v>316</v>
      </c>
      <c r="D583" s="19" t="s">
        <v>908</v>
      </c>
      <c r="E583" s="22" t="n">
        <v>1059</v>
      </c>
      <c r="F583" s="19"/>
      <c r="G583" s="22" t="n">
        <v>1</v>
      </c>
      <c r="H583" s="19"/>
      <c r="I583" s="23" t="s">
        <v>27</v>
      </c>
      <c r="J583" s="19" t="s">
        <v>422</v>
      </c>
    </row>
    <row r="584" customFormat="false" ht="15" hidden="false" customHeight="false" outlineLevel="0" collapsed="false">
      <c r="A584" s="19" t="s">
        <v>246</v>
      </c>
      <c r="B584" s="19" t="s">
        <v>138</v>
      </c>
      <c r="C584" s="19" t="s">
        <v>446</v>
      </c>
      <c r="D584" s="19" t="s">
        <v>909</v>
      </c>
      <c r="E584" s="22" t="n">
        <v>736</v>
      </c>
      <c r="F584" s="19"/>
      <c r="G584" s="22" t="n">
        <v>1</v>
      </c>
      <c r="H584" s="19"/>
      <c r="I584" s="23" t="s">
        <v>27</v>
      </c>
      <c r="J584" s="19" t="s">
        <v>422</v>
      </c>
    </row>
    <row r="585" customFormat="false" ht="15" hidden="false" customHeight="false" outlineLevel="0" collapsed="false">
      <c r="A585" s="19" t="s">
        <v>246</v>
      </c>
      <c r="B585" s="19" t="s">
        <v>138</v>
      </c>
      <c r="C585" s="19" t="s">
        <v>446</v>
      </c>
      <c r="D585" s="19" t="s">
        <v>910</v>
      </c>
      <c r="E585" s="22" t="n">
        <v>1278</v>
      </c>
      <c r="F585" s="19" t="n">
        <v>9.18</v>
      </c>
      <c r="G585" s="22" t="n">
        <v>1</v>
      </c>
      <c r="H585" s="19"/>
      <c r="I585" s="23" t="s">
        <v>27</v>
      </c>
      <c r="J585" s="19" t="s">
        <v>422</v>
      </c>
    </row>
    <row r="586" customFormat="false" ht="15" hidden="false" customHeight="false" outlineLevel="0" collapsed="false">
      <c r="A586" s="19" t="s">
        <v>246</v>
      </c>
      <c r="B586" s="19" t="s">
        <v>138</v>
      </c>
      <c r="C586" s="19" t="s">
        <v>319</v>
      </c>
      <c r="D586" s="19" t="s">
        <v>911</v>
      </c>
      <c r="E586" s="22" t="n">
        <v>742</v>
      </c>
      <c r="F586" s="19" t="n">
        <v>2.81</v>
      </c>
      <c r="G586" s="22" t="n">
        <v>1</v>
      </c>
      <c r="H586" s="19"/>
      <c r="I586" s="23" t="s">
        <v>27</v>
      </c>
      <c r="J586" s="19" t="s">
        <v>422</v>
      </c>
    </row>
    <row r="587" customFormat="false" ht="15" hidden="false" customHeight="false" outlineLevel="0" collapsed="false">
      <c r="A587" s="19" t="s">
        <v>246</v>
      </c>
      <c r="B587" s="19" t="s">
        <v>138</v>
      </c>
      <c r="C587" s="19" t="s">
        <v>367</v>
      </c>
      <c r="D587" s="19" t="s">
        <v>912</v>
      </c>
      <c r="E587" s="22" t="n">
        <v>1942</v>
      </c>
      <c r="F587" s="19" t="n">
        <v>5.07</v>
      </c>
      <c r="G587" s="22" t="n">
        <v>1</v>
      </c>
      <c r="H587" s="19"/>
      <c r="I587" s="23" t="s">
        <v>27</v>
      </c>
      <c r="J587" s="19" t="s">
        <v>422</v>
      </c>
    </row>
    <row r="588" customFormat="false" ht="15" hidden="false" customHeight="false" outlineLevel="0" collapsed="false">
      <c r="A588" s="19" t="s">
        <v>246</v>
      </c>
      <c r="B588" s="19" t="s">
        <v>138</v>
      </c>
      <c r="C588" s="19" t="s">
        <v>367</v>
      </c>
      <c r="D588" s="19" t="s">
        <v>913</v>
      </c>
      <c r="E588" s="22" t="n">
        <v>679</v>
      </c>
      <c r="F588" s="19"/>
      <c r="G588" s="22" t="n">
        <v>1</v>
      </c>
      <c r="H588" s="19"/>
      <c r="I588" s="23" t="s">
        <v>27</v>
      </c>
      <c r="J588" s="19" t="s">
        <v>323</v>
      </c>
    </row>
    <row r="589" customFormat="false" ht="15" hidden="false" customHeight="false" outlineLevel="0" collapsed="false">
      <c r="A589" s="19" t="s">
        <v>246</v>
      </c>
      <c r="B589" s="19" t="s">
        <v>590</v>
      </c>
      <c r="C589" s="19" t="s">
        <v>365</v>
      </c>
      <c r="D589" s="19" t="s">
        <v>914</v>
      </c>
      <c r="E589" s="22" t="n">
        <v>2022</v>
      </c>
      <c r="F589" s="19" t="n">
        <v>14.16</v>
      </c>
      <c r="G589" s="22" t="n">
        <v>1</v>
      </c>
      <c r="H589" s="19"/>
      <c r="I589" s="23" t="s">
        <v>27</v>
      </c>
      <c r="J589" s="19" t="s">
        <v>323</v>
      </c>
    </row>
    <row r="590" customFormat="false" ht="15" hidden="false" customHeight="false" outlineLevel="0" collapsed="false">
      <c r="A590" s="19" t="s">
        <v>246</v>
      </c>
      <c r="B590" s="19" t="s">
        <v>138</v>
      </c>
      <c r="C590" s="19" t="s">
        <v>367</v>
      </c>
      <c r="D590" s="19" t="s">
        <v>915</v>
      </c>
      <c r="E590" s="22" t="n">
        <v>1015</v>
      </c>
      <c r="F590" s="19"/>
      <c r="G590" s="22" t="n">
        <v>1</v>
      </c>
      <c r="H590" s="19"/>
      <c r="I590" s="23" t="s">
        <v>27</v>
      </c>
      <c r="J590" s="19" t="s">
        <v>323</v>
      </c>
    </row>
    <row r="591" customFormat="false" ht="15" hidden="false" customHeight="false" outlineLevel="0" collapsed="false">
      <c r="A591" s="19" t="s">
        <v>246</v>
      </c>
      <c r="B591" s="19" t="s">
        <v>138</v>
      </c>
      <c r="C591" s="19" t="s">
        <v>367</v>
      </c>
      <c r="D591" s="19" t="s">
        <v>916</v>
      </c>
      <c r="E591" s="22" t="n">
        <v>312</v>
      </c>
      <c r="F591" s="19"/>
      <c r="G591" s="22" t="n">
        <v>1</v>
      </c>
      <c r="H591" s="19"/>
      <c r="I591" s="23" t="s">
        <v>27</v>
      </c>
      <c r="J591" s="19" t="s">
        <v>323</v>
      </c>
    </row>
    <row r="592" customFormat="false" ht="15" hidden="false" customHeight="false" outlineLevel="0" collapsed="false">
      <c r="A592" s="19" t="s">
        <v>246</v>
      </c>
      <c r="B592" s="19" t="s">
        <v>138</v>
      </c>
      <c r="C592" s="19" t="s">
        <v>367</v>
      </c>
      <c r="D592" s="19" t="s">
        <v>917</v>
      </c>
      <c r="E592" s="22" t="n">
        <v>576</v>
      </c>
      <c r="F592" s="19"/>
      <c r="G592" s="22" t="n">
        <v>1</v>
      </c>
      <c r="H592" s="19"/>
      <c r="I592" s="23" t="s">
        <v>27</v>
      </c>
      <c r="J592" s="19" t="s">
        <v>326</v>
      </c>
    </row>
    <row r="593" customFormat="false" ht="15" hidden="false" customHeight="false" outlineLevel="0" collapsed="false">
      <c r="A593" s="19" t="s">
        <v>332</v>
      </c>
      <c r="B593" s="19" t="s">
        <v>138</v>
      </c>
      <c r="C593" s="19" t="s">
        <v>367</v>
      </c>
      <c r="D593" s="19" t="s">
        <v>918</v>
      </c>
      <c r="E593" s="22" t="n">
        <v>1350</v>
      </c>
      <c r="F593" s="19" t="n">
        <v>1.38</v>
      </c>
      <c r="G593" s="22" t="n">
        <v>1</v>
      </c>
      <c r="H593" s="19"/>
      <c r="I593" s="23" t="s">
        <v>27</v>
      </c>
      <c r="J593" s="19" t="s">
        <v>326</v>
      </c>
    </row>
    <row r="594" customFormat="false" ht="15" hidden="false" customHeight="false" outlineLevel="0" collapsed="false">
      <c r="A594" s="19" t="s">
        <v>246</v>
      </c>
      <c r="B594" s="19" t="s">
        <v>138</v>
      </c>
      <c r="C594" s="19" t="s">
        <v>367</v>
      </c>
      <c r="D594" s="19" t="s">
        <v>919</v>
      </c>
      <c r="E594" s="22" t="n">
        <v>920</v>
      </c>
      <c r="F594" s="19"/>
      <c r="G594" s="22" t="n">
        <v>1</v>
      </c>
      <c r="H594" s="19"/>
      <c r="I594" s="23" t="s">
        <v>27</v>
      </c>
      <c r="J594" s="19" t="s">
        <v>326</v>
      </c>
    </row>
    <row r="595" customFormat="false" ht="15" hidden="false" customHeight="false" outlineLevel="0" collapsed="false">
      <c r="A595" s="19" t="s">
        <v>332</v>
      </c>
      <c r="B595" s="19" t="s">
        <v>138</v>
      </c>
      <c r="C595" s="19" t="s">
        <v>367</v>
      </c>
      <c r="D595" s="19" t="s">
        <v>920</v>
      </c>
      <c r="E595" s="22" t="n">
        <v>2496</v>
      </c>
      <c r="F595" s="19" t="n">
        <v>24.64</v>
      </c>
      <c r="G595" s="22" t="n">
        <v>1</v>
      </c>
      <c r="H595" s="19"/>
      <c r="I595" s="23" t="s">
        <v>27</v>
      </c>
      <c r="J595" s="19" t="s">
        <v>326</v>
      </c>
    </row>
    <row r="596" customFormat="false" ht="15" hidden="false" customHeight="false" outlineLevel="0" collapsed="false">
      <c r="A596" s="19" t="s">
        <v>246</v>
      </c>
      <c r="B596" s="19" t="s">
        <v>138</v>
      </c>
      <c r="C596" s="19" t="s">
        <v>367</v>
      </c>
      <c r="D596" s="19" t="s">
        <v>921</v>
      </c>
      <c r="E596" s="22" t="n">
        <v>1727</v>
      </c>
      <c r="F596" s="19" t="n">
        <v>3.64</v>
      </c>
      <c r="G596" s="22" t="n">
        <v>1</v>
      </c>
      <c r="H596" s="19"/>
      <c r="I596" s="23" t="s">
        <v>27</v>
      </c>
      <c r="J596" s="19" t="s">
        <v>326</v>
      </c>
    </row>
    <row r="597" customFormat="false" ht="15" hidden="false" customHeight="false" outlineLevel="0" collapsed="false">
      <c r="A597" s="19" t="s">
        <v>246</v>
      </c>
      <c r="B597" s="19" t="s">
        <v>254</v>
      </c>
      <c r="C597" s="19" t="s">
        <v>365</v>
      </c>
      <c r="D597" s="19" t="s">
        <v>922</v>
      </c>
      <c r="E597" s="22" t="n">
        <v>897</v>
      </c>
      <c r="F597" s="19"/>
      <c r="G597" s="22" t="n">
        <v>1</v>
      </c>
      <c r="H597" s="19"/>
      <c r="I597" s="23" t="s">
        <v>27</v>
      </c>
      <c r="J597" s="19" t="s">
        <v>351</v>
      </c>
    </row>
    <row r="598" customFormat="false" ht="15" hidden="false" customHeight="false" outlineLevel="0" collapsed="false">
      <c r="A598" s="19" t="s">
        <v>246</v>
      </c>
      <c r="B598" s="19" t="s">
        <v>254</v>
      </c>
      <c r="C598" s="19" t="s">
        <v>365</v>
      </c>
      <c r="D598" s="19" t="s">
        <v>608</v>
      </c>
      <c r="E598" s="22" t="n">
        <v>889</v>
      </c>
      <c r="F598" s="19"/>
      <c r="G598" s="22" t="n">
        <v>1</v>
      </c>
      <c r="H598" s="19"/>
      <c r="I598" s="23" t="s">
        <v>27</v>
      </c>
      <c r="J598" s="19" t="s">
        <v>351</v>
      </c>
    </row>
    <row r="599" customFormat="false" ht="15" hidden="false" customHeight="false" outlineLevel="0" collapsed="false">
      <c r="A599" s="19" t="s">
        <v>246</v>
      </c>
      <c r="B599" s="19" t="s">
        <v>254</v>
      </c>
      <c r="C599" s="19" t="s">
        <v>365</v>
      </c>
      <c r="D599" s="19" t="s">
        <v>608</v>
      </c>
      <c r="E599" s="22" t="n">
        <v>1831</v>
      </c>
      <c r="F599" s="19" t="n">
        <v>3.31</v>
      </c>
      <c r="G599" s="22" t="n">
        <v>1</v>
      </c>
      <c r="H599" s="19"/>
      <c r="I599" s="23" t="s">
        <v>27</v>
      </c>
      <c r="J599" s="19" t="s">
        <v>351</v>
      </c>
    </row>
    <row r="600" customFormat="false" ht="15" hidden="false" customHeight="false" outlineLevel="0" collapsed="false">
      <c r="A600" s="19" t="s">
        <v>246</v>
      </c>
      <c r="B600" s="19" t="s">
        <v>254</v>
      </c>
      <c r="C600" s="19" t="s">
        <v>365</v>
      </c>
      <c r="D600" s="19" t="s">
        <v>608</v>
      </c>
      <c r="E600" s="22" t="n">
        <v>1980</v>
      </c>
      <c r="F600" s="19" t="n">
        <v>4.15</v>
      </c>
      <c r="G600" s="22" t="n">
        <v>1</v>
      </c>
      <c r="H600" s="19"/>
      <c r="I600" s="23" t="s">
        <v>27</v>
      </c>
      <c r="J600" s="19" t="s">
        <v>351</v>
      </c>
    </row>
    <row r="601" customFormat="false" ht="15" hidden="false" customHeight="false" outlineLevel="0" collapsed="false">
      <c r="A601" s="19" t="s">
        <v>246</v>
      </c>
      <c r="B601" s="19" t="s">
        <v>254</v>
      </c>
      <c r="C601" s="19" t="s">
        <v>365</v>
      </c>
      <c r="D601" s="19" t="s">
        <v>923</v>
      </c>
      <c r="E601" s="22" t="n">
        <v>741</v>
      </c>
      <c r="F601" s="19"/>
      <c r="G601" s="22" t="n">
        <v>1</v>
      </c>
      <c r="H601" s="19"/>
      <c r="I601" s="23" t="s">
        <v>27</v>
      </c>
      <c r="J601" s="19" t="s">
        <v>351</v>
      </c>
    </row>
    <row r="602" customFormat="false" ht="15" hidden="false" customHeight="false" outlineLevel="0" collapsed="false">
      <c r="A602" s="19" t="s">
        <v>246</v>
      </c>
      <c r="B602" s="19" t="s">
        <v>254</v>
      </c>
      <c r="C602" s="19" t="s">
        <v>365</v>
      </c>
      <c r="D602" s="19" t="s">
        <v>693</v>
      </c>
      <c r="E602" s="22" t="n">
        <v>595</v>
      </c>
      <c r="F602" s="19"/>
      <c r="G602" s="22" t="n">
        <v>1</v>
      </c>
      <c r="H602" s="19"/>
      <c r="I602" s="23" t="s">
        <v>27</v>
      </c>
      <c r="J602" s="19" t="s">
        <v>351</v>
      </c>
    </row>
    <row r="603" customFormat="false" ht="15" hidden="false" customHeight="false" outlineLevel="0" collapsed="false">
      <c r="A603" s="19" t="s">
        <v>249</v>
      </c>
      <c r="B603" s="19" t="s">
        <v>138</v>
      </c>
      <c r="C603" s="19" t="s">
        <v>446</v>
      </c>
      <c r="D603" s="19" t="s">
        <v>924</v>
      </c>
      <c r="E603" s="22" t="n">
        <v>1868</v>
      </c>
      <c r="F603" s="19"/>
      <c r="G603" s="22" t="n">
        <v>1</v>
      </c>
      <c r="H603" s="19"/>
      <c r="I603" s="23" t="s">
        <v>27</v>
      </c>
      <c r="J603" s="19" t="s">
        <v>428</v>
      </c>
    </row>
    <row r="604" customFormat="false" ht="15" hidden="false" customHeight="false" outlineLevel="0" collapsed="false">
      <c r="A604" s="19" t="s">
        <v>249</v>
      </c>
      <c r="B604" s="19" t="s">
        <v>138</v>
      </c>
      <c r="C604" s="19" t="s">
        <v>367</v>
      </c>
      <c r="D604" s="19" t="s">
        <v>925</v>
      </c>
      <c r="E604" s="22" t="n">
        <v>2752</v>
      </c>
      <c r="F604" s="19" t="n">
        <v>1.09</v>
      </c>
      <c r="G604" s="22" t="n">
        <v>1</v>
      </c>
      <c r="H604" s="19"/>
      <c r="I604" s="23" t="s">
        <v>27</v>
      </c>
      <c r="J604" s="19" t="s">
        <v>428</v>
      </c>
    </row>
    <row r="605" customFormat="false" ht="15" hidden="false" customHeight="false" outlineLevel="0" collapsed="false">
      <c r="A605" s="19" t="s">
        <v>249</v>
      </c>
      <c r="B605" s="19" t="s">
        <v>254</v>
      </c>
      <c r="C605" s="19" t="s">
        <v>365</v>
      </c>
      <c r="D605" s="19" t="s">
        <v>926</v>
      </c>
      <c r="E605" s="22" t="n">
        <v>3607</v>
      </c>
      <c r="F605" s="19" t="n">
        <v>1.09</v>
      </c>
      <c r="G605" s="22" t="n">
        <v>1</v>
      </c>
      <c r="H605" s="19"/>
      <c r="I605" s="23" t="s">
        <v>27</v>
      </c>
      <c r="J605" s="19" t="s">
        <v>428</v>
      </c>
    </row>
    <row r="606" customFormat="false" ht="15" hidden="false" customHeight="false" outlineLevel="0" collapsed="false">
      <c r="A606" s="19" t="s">
        <v>249</v>
      </c>
      <c r="B606" s="19" t="s">
        <v>315</v>
      </c>
      <c r="C606" s="19" t="s">
        <v>316</v>
      </c>
      <c r="D606" s="19" t="s">
        <v>927</v>
      </c>
      <c r="E606" s="22" t="n">
        <v>2220</v>
      </c>
      <c r="F606" s="19"/>
      <c r="G606" s="22" t="n">
        <v>1</v>
      </c>
      <c r="H606" s="19"/>
      <c r="I606" s="23" t="s">
        <v>27</v>
      </c>
      <c r="J606" s="19" t="s">
        <v>428</v>
      </c>
    </row>
    <row r="607" customFormat="false" ht="15" hidden="false" customHeight="false" outlineLevel="0" collapsed="false">
      <c r="A607" s="19" t="s">
        <v>249</v>
      </c>
      <c r="B607" s="19" t="s">
        <v>138</v>
      </c>
      <c r="C607" s="19" t="s">
        <v>446</v>
      </c>
      <c r="D607" s="19" t="s">
        <v>928</v>
      </c>
      <c r="E607" s="22" t="n">
        <v>960</v>
      </c>
      <c r="F607" s="19"/>
      <c r="G607" s="22" t="n">
        <v>1</v>
      </c>
      <c r="H607" s="19"/>
      <c r="I607" s="23" t="s">
        <v>27</v>
      </c>
      <c r="J607" s="19" t="s">
        <v>428</v>
      </c>
    </row>
    <row r="608" customFormat="false" ht="15" hidden="false" customHeight="false" outlineLevel="0" collapsed="false">
      <c r="A608" s="19" t="s">
        <v>249</v>
      </c>
      <c r="B608" s="19" t="s">
        <v>138</v>
      </c>
      <c r="C608" s="19" t="s">
        <v>367</v>
      </c>
      <c r="D608" s="19" t="s">
        <v>929</v>
      </c>
      <c r="E608" s="22" t="n">
        <v>1338</v>
      </c>
      <c r="F608" s="19"/>
      <c r="G608" s="22" t="n">
        <v>1</v>
      </c>
      <c r="H608" s="19"/>
      <c r="I608" s="23" t="s">
        <v>27</v>
      </c>
      <c r="J608" s="19" t="s">
        <v>428</v>
      </c>
    </row>
    <row r="609" customFormat="false" ht="15" hidden="false" customHeight="false" outlineLevel="0" collapsed="false">
      <c r="A609" s="19" t="s">
        <v>249</v>
      </c>
      <c r="B609" s="19" t="s">
        <v>769</v>
      </c>
      <c r="C609" s="19" t="s">
        <v>365</v>
      </c>
      <c r="D609" s="19" t="s">
        <v>930</v>
      </c>
      <c r="E609" s="22" t="n">
        <v>1777</v>
      </c>
      <c r="F609" s="19"/>
      <c r="G609" s="22" t="n">
        <v>1</v>
      </c>
      <c r="H609" s="19"/>
      <c r="I609" s="23" t="s">
        <v>27</v>
      </c>
      <c r="J609" s="19" t="s">
        <v>539</v>
      </c>
    </row>
    <row r="610" customFormat="false" ht="15" hidden="false" customHeight="false" outlineLevel="0" collapsed="false">
      <c r="A610" s="19" t="s">
        <v>249</v>
      </c>
      <c r="B610" s="19" t="s">
        <v>315</v>
      </c>
      <c r="C610" s="19" t="s">
        <v>316</v>
      </c>
      <c r="D610" s="19" t="s">
        <v>931</v>
      </c>
      <c r="E610" s="22" t="n">
        <v>1969</v>
      </c>
      <c r="F610" s="19"/>
      <c r="G610" s="22" t="n">
        <v>1</v>
      </c>
      <c r="H610" s="19"/>
      <c r="I610" s="23" t="s">
        <v>27</v>
      </c>
      <c r="J610" s="19" t="s">
        <v>539</v>
      </c>
    </row>
    <row r="611" customFormat="false" ht="15" hidden="false" customHeight="false" outlineLevel="0" collapsed="false">
      <c r="A611" s="19" t="s">
        <v>252</v>
      </c>
      <c r="B611" s="19" t="s">
        <v>138</v>
      </c>
      <c r="C611" s="19" t="s">
        <v>319</v>
      </c>
      <c r="D611" s="19" t="s">
        <v>932</v>
      </c>
      <c r="E611" s="22" t="n">
        <v>1132</v>
      </c>
      <c r="F611" s="19" t="n">
        <v>1.09</v>
      </c>
      <c r="G611" s="22" t="n">
        <v>1</v>
      </c>
      <c r="H611" s="19"/>
      <c r="I611" s="23" t="s">
        <v>27</v>
      </c>
      <c r="J611" s="19" t="s">
        <v>345</v>
      </c>
    </row>
    <row r="612" customFormat="false" ht="15" hidden="false" customHeight="false" outlineLevel="0" collapsed="false">
      <c r="A612" s="19" t="s">
        <v>246</v>
      </c>
      <c r="B612" s="19" t="s">
        <v>244</v>
      </c>
      <c r="C612" s="19" t="s">
        <v>365</v>
      </c>
      <c r="D612" s="19" t="s">
        <v>933</v>
      </c>
      <c r="E612" s="22" t="n">
        <v>2800</v>
      </c>
      <c r="F612" s="19" t="n">
        <v>5.84</v>
      </c>
      <c r="G612" s="22" t="n">
        <v>1</v>
      </c>
      <c r="H612" s="19"/>
      <c r="I612" s="23" t="s">
        <v>27</v>
      </c>
      <c r="J612" s="19" t="s">
        <v>388</v>
      </c>
    </row>
    <row r="613" customFormat="false" ht="15" hidden="false" customHeight="false" outlineLevel="0" collapsed="false">
      <c r="A613" s="19" t="s">
        <v>246</v>
      </c>
      <c r="B613" s="19" t="s">
        <v>138</v>
      </c>
      <c r="C613" s="19" t="s">
        <v>367</v>
      </c>
      <c r="D613" s="19" t="s">
        <v>934</v>
      </c>
      <c r="E613" s="22" t="n">
        <v>669</v>
      </c>
      <c r="F613" s="19"/>
      <c r="G613" s="22" t="n">
        <v>1</v>
      </c>
      <c r="H613" s="19"/>
      <c r="I613" s="23" t="s">
        <v>27</v>
      </c>
      <c r="J613" s="19" t="s">
        <v>388</v>
      </c>
    </row>
    <row r="614" customFormat="false" ht="15" hidden="false" customHeight="false" outlineLevel="0" collapsed="false">
      <c r="A614" s="19" t="s">
        <v>246</v>
      </c>
      <c r="B614" s="19" t="s">
        <v>267</v>
      </c>
      <c r="C614" s="19" t="s">
        <v>365</v>
      </c>
      <c r="D614" s="19" t="s">
        <v>935</v>
      </c>
      <c r="E614" s="22" t="n">
        <v>628</v>
      </c>
      <c r="F614" s="19"/>
      <c r="G614" s="22" t="n">
        <v>1</v>
      </c>
      <c r="H614" s="19"/>
      <c r="I614" s="23" t="s">
        <v>27</v>
      </c>
      <c r="J614" s="19" t="s">
        <v>388</v>
      </c>
    </row>
    <row r="615" customFormat="false" ht="15" hidden="false" customHeight="false" outlineLevel="0" collapsed="false">
      <c r="A615" s="19" t="s">
        <v>246</v>
      </c>
      <c r="B615" s="19" t="s">
        <v>254</v>
      </c>
      <c r="C615" s="19" t="s">
        <v>365</v>
      </c>
      <c r="D615" s="19" t="s">
        <v>936</v>
      </c>
      <c r="E615" s="22" t="n">
        <v>1853</v>
      </c>
      <c r="F615" s="19" t="n">
        <v>1.09</v>
      </c>
      <c r="G615" s="22" t="n">
        <v>1</v>
      </c>
      <c r="H615" s="19"/>
      <c r="I615" s="23" t="s">
        <v>27</v>
      </c>
      <c r="J615" s="19" t="s">
        <v>388</v>
      </c>
    </row>
    <row r="616" customFormat="false" ht="15" hidden="false" customHeight="false" outlineLevel="0" collapsed="false">
      <c r="A616" s="19" t="s">
        <v>246</v>
      </c>
      <c r="B616" s="19" t="s">
        <v>138</v>
      </c>
      <c r="C616" s="19" t="s">
        <v>446</v>
      </c>
      <c r="D616" s="19" t="s">
        <v>937</v>
      </c>
      <c r="E616" s="22" t="n">
        <v>1506</v>
      </c>
      <c r="F616" s="19" t="n">
        <v>1.46</v>
      </c>
      <c r="G616" s="22" t="n">
        <v>1</v>
      </c>
      <c r="H616" s="19"/>
      <c r="I616" s="23" t="s">
        <v>27</v>
      </c>
      <c r="J616" s="19" t="s">
        <v>388</v>
      </c>
    </row>
    <row r="617" customFormat="false" ht="15" hidden="false" customHeight="false" outlineLevel="0" collapsed="false">
      <c r="A617" s="19" t="s">
        <v>246</v>
      </c>
      <c r="B617" s="19" t="s">
        <v>267</v>
      </c>
      <c r="C617" s="19" t="s">
        <v>365</v>
      </c>
      <c r="D617" s="19" t="s">
        <v>935</v>
      </c>
      <c r="E617" s="22" t="n">
        <v>600</v>
      </c>
      <c r="F617" s="19"/>
      <c r="G617" s="22" t="n">
        <v>1</v>
      </c>
      <c r="H617" s="19"/>
      <c r="I617" s="23" t="s">
        <v>27</v>
      </c>
      <c r="J617" s="19" t="s">
        <v>388</v>
      </c>
    </row>
    <row r="618" customFormat="false" ht="15" hidden="false" customHeight="false" outlineLevel="0" collapsed="false">
      <c r="A618" s="19" t="s">
        <v>249</v>
      </c>
      <c r="B618" s="19" t="s">
        <v>138</v>
      </c>
      <c r="C618" s="19" t="s">
        <v>319</v>
      </c>
      <c r="D618" s="19" t="s">
        <v>938</v>
      </c>
      <c r="E618" s="22" t="n">
        <v>956</v>
      </c>
      <c r="F618" s="19"/>
      <c r="G618" s="22" t="n">
        <v>1</v>
      </c>
      <c r="H618" s="19"/>
      <c r="I618" s="23" t="s">
        <v>27</v>
      </c>
      <c r="J618" s="19" t="s">
        <v>330</v>
      </c>
    </row>
    <row r="619" customFormat="false" ht="15" hidden="false" customHeight="false" outlineLevel="0" collapsed="false">
      <c r="A619" s="19" t="s">
        <v>249</v>
      </c>
      <c r="B619" s="19" t="s">
        <v>138</v>
      </c>
      <c r="C619" s="19" t="s">
        <v>319</v>
      </c>
      <c r="D619" s="19" t="s">
        <v>939</v>
      </c>
      <c r="E619" s="22" t="n">
        <v>854</v>
      </c>
      <c r="F619" s="19"/>
      <c r="G619" s="22" t="n">
        <v>1</v>
      </c>
      <c r="H619" s="19"/>
      <c r="I619" s="23" t="s">
        <v>27</v>
      </c>
      <c r="J619" s="19" t="s">
        <v>330</v>
      </c>
    </row>
    <row r="620" customFormat="false" ht="15" hidden="false" customHeight="false" outlineLevel="0" collapsed="false">
      <c r="A620" s="19" t="s">
        <v>249</v>
      </c>
      <c r="B620" s="19" t="s">
        <v>138</v>
      </c>
      <c r="C620" s="19" t="s">
        <v>319</v>
      </c>
      <c r="D620" s="19" t="s">
        <v>940</v>
      </c>
      <c r="E620" s="22" t="n">
        <v>2899</v>
      </c>
      <c r="F620" s="19"/>
      <c r="G620" s="22" t="n">
        <v>1</v>
      </c>
      <c r="H620" s="19"/>
      <c r="I620" s="23" t="s">
        <v>27</v>
      </c>
      <c r="J620" s="19" t="s">
        <v>330</v>
      </c>
    </row>
    <row r="621" customFormat="false" ht="15" hidden="false" customHeight="false" outlineLevel="0" collapsed="false">
      <c r="A621" s="19" t="s">
        <v>249</v>
      </c>
      <c r="B621" s="19" t="s">
        <v>138</v>
      </c>
      <c r="C621" s="19" t="s">
        <v>319</v>
      </c>
      <c r="D621" s="19" t="s">
        <v>941</v>
      </c>
      <c r="E621" s="22" t="n">
        <v>884</v>
      </c>
      <c r="F621" s="19"/>
      <c r="G621" s="22" t="n">
        <v>1</v>
      </c>
      <c r="H621" s="19"/>
      <c r="I621" s="23" t="s">
        <v>27</v>
      </c>
      <c r="J621" s="19" t="s">
        <v>330</v>
      </c>
    </row>
    <row r="622" customFormat="false" ht="15" hidden="false" customHeight="false" outlineLevel="0" collapsed="false">
      <c r="A622" s="19" t="s">
        <v>252</v>
      </c>
      <c r="B622" s="19" t="s">
        <v>138</v>
      </c>
      <c r="C622" s="19" t="s">
        <v>367</v>
      </c>
      <c r="D622" s="19" t="s">
        <v>942</v>
      </c>
      <c r="E622" s="22" t="n">
        <v>799</v>
      </c>
      <c r="F622" s="19"/>
      <c r="G622" s="22" t="n">
        <v>0</v>
      </c>
      <c r="H622" s="19"/>
      <c r="I622" s="23" t="s">
        <v>27</v>
      </c>
      <c r="J622" s="19" t="s">
        <v>318</v>
      </c>
    </row>
    <row r="623" customFormat="false" ht="15" hidden="false" customHeight="false" outlineLevel="0" collapsed="false">
      <c r="A623" s="19" t="s">
        <v>252</v>
      </c>
      <c r="B623" s="19" t="s">
        <v>138</v>
      </c>
      <c r="C623" s="19" t="s">
        <v>367</v>
      </c>
      <c r="D623" s="19" t="s">
        <v>943</v>
      </c>
      <c r="E623" s="22" t="n">
        <v>912</v>
      </c>
      <c r="F623" s="19"/>
      <c r="G623" s="22" t="n">
        <v>0</v>
      </c>
      <c r="H623" s="19"/>
      <c r="I623" s="23" t="s">
        <v>27</v>
      </c>
      <c r="J623" s="19" t="s">
        <v>318</v>
      </c>
    </row>
    <row r="624" customFormat="false" ht="15" hidden="false" customHeight="false" outlineLevel="0" collapsed="false">
      <c r="A624" s="19" t="s">
        <v>252</v>
      </c>
      <c r="B624" s="19" t="s">
        <v>138</v>
      </c>
      <c r="C624" s="19" t="s">
        <v>319</v>
      </c>
      <c r="D624" s="19" t="s">
        <v>944</v>
      </c>
      <c r="E624" s="22" t="n">
        <v>932</v>
      </c>
      <c r="F624" s="19"/>
      <c r="G624" s="22" t="n">
        <v>0</v>
      </c>
      <c r="H624" s="19"/>
      <c r="I624" s="23" t="s">
        <v>27</v>
      </c>
      <c r="J624" s="19" t="s">
        <v>318</v>
      </c>
    </row>
    <row r="625" customFormat="false" ht="15" hidden="false" customHeight="false" outlineLevel="0" collapsed="false">
      <c r="A625" s="19" t="s">
        <v>252</v>
      </c>
      <c r="B625" s="19" t="s">
        <v>244</v>
      </c>
      <c r="C625" s="19" t="s">
        <v>365</v>
      </c>
      <c r="D625" s="19" t="s">
        <v>945</v>
      </c>
      <c r="E625" s="22" t="n">
        <v>744</v>
      </c>
      <c r="F625" s="19"/>
      <c r="G625" s="22" t="n">
        <v>0</v>
      </c>
      <c r="H625" s="19"/>
      <c r="I625" s="23" t="s">
        <v>27</v>
      </c>
      <c r="J625" s="19" t="s">
        <v>318</v>
      </c>
    </row>
    <row r="626" customFormat="false" ht="15" hidden="false" customHeight="false" outlineLevel="0" collapsed="false">
      <c r="A626" s="19" t="s">
        <v>252</v>
      </c>
      <c r="B626" s="19" t="s">
        <v>254</v>
      </c>
      <c r="C626" s="19" t="s">
        <v>365</v>
      </c>
      <c r="D626" s="19" t="s">
        <v>946</v>
      </c>
      <c r="E626" s="22" t="n">
        <v>10308</v>
      </c>
      <c r="F626" s="19"/>
      <c r="G626" s="22" t="n">
        <v>0</v>
      </c>
      <c r="H626" s="19"/>
      <c r="I626" s="23" t="s">
        <v>27</v>
      </c>
      <c r="J626" s="19" t="s">
        <v>318</v>
      </c>
    </row>
    <row r="627" customFormat="false" ht="15" hidden="false" customHeight="false" outlineLevel="0" collapsed="false">
      <c r="A627" s="19" t="s">
        <v>252</v>
      </c>
      <c r="B627" s="19" t="s">
        <v>272</v>
      </c>
      <c r="C627" s="19" t="s">
        <v>365</v>
      </c>
      <c r="D627" s="19" t="s">
        <v>947</v>
      </c>
      <c r="E627" s="22" t="n">
        <v>9965</v>
      </c>
      <c r="F627" s="19"/>
      <c r="G627" s="22" t="n">
        <v>0</v>
      </c>
      <c r="H627" s="19"/>
      <c r="I627" s="23" t="s">
        <v>27</v>
      </c>
      <c r="J627" s="19" t="s">
        <v>318</v>
      </c>
    </row>
    <row r="628" customFormat="false" ht="15" hidden="false" customHeight="false" outlineLevel="0" collapsed="false">
      <c r="A628" s="19" t="s">
        <v>252</v>
      </c>
      <c r="B628" s="19" t="s">
        <v>138</v>
      </c>
      <c r="C628" s="19" t="s">
        <v>446</v>
      </c>
      <c r="D628" s="19" t="s">
        <v>948</v>
      </c>
      <c r="E628" s="22" t="n">
        <v>818</v>
      </c>
      <c r="F628" s="19"/>
      <c r="G628" s="22" t="n">
        <v>0</v>
      </c>
      <c r="H628" s="19"/>
      <c r="I628" s="23" t="s">
        <v>27</v>
      </c>
      <c r="J628" s="19" t="s">
        <v>318</v>
      </c>
    </row>
    <row r="629" customFormat="false" ht="15" hidden="false" customHeight="false" outlineLevel="0" collapsed="false">
      <c r="A629" s="19" t="s">
        <v>252</v>
      </c>
      <c r="B629" s="19" t="s">
        <v>138</v>
      </c>
      <c r="C629" s="19" t="s">
        <v>446</v>
      </c>
      <c r="D629" s="19" t="s">
        <v>949</v>
      </c>
      <c r="E629" s="22" t="n">
        <v>786</v>
      </c>
      <c r="F629" s="19"/>
      <c r="G629" s="22" t="n">
        <v>0</v>
      </c>
      <c r="H629" s="19"/>
      <c r="I629" s="23" t="s">
        <v>27</v>
      </c>
      <c r="J629" s="19" t="s">
        <v>318</v>
      </c>
    </row>
    <row r="630" customFormat="false" ht="15" hidden="false" customHeight="false" outlineLevel="0" collapsed="false">
      <c r="A630" s="19" t="s">
        <v>252</v>
      </c>
      <c r="B630" s="19" t="s">
        <v>254</v>
      </c>
      <c r="C630" s="19" t="s">
        <v>365</v>
      </c>
      <c r="D630" s="19" t="s">
        <v>950</v>
      </c>
      <c r="E630" s="22" t="n">
        <v>965</v>
      </c>
      <c r="F630" s="19"/>
      <c r="G630" s="22" t="n">
        <v>0</v>
      </c>
      <c r="H630" s="19"/>
      <c r="I630" s="23" t="s">
        <v>27</v>
      </c>
      <c r="J630" s="19" t="s">
        <v>318</v>
      </c>
    </row>
    <row r="631" customFormat="false" ht="15" hidden="false" customHeight="false" outlineLevel="0" collapsed="false">
      <c r="A631" s="19" t="s">
        <v>252</v>
      </c>
      <c r="B631" s="19" t="s">
        <v>138</v>
      </c>
      <c r="C631" s="19" t="s">
        <v>446</v>
      </c>
      <c r="D631" s="19" t="s">
        <v>951</v>
      </c>
      <c r="E631" s="22" t="n">
        <v>832</v>
      </c>
      <c r="F631" s="19"/>
      <c r="G631" s="22" t="n">
        <v>0</v>
      </c>
      <c r="H631" s="19"/>
      <c r="I631" s="23" t="s">
        <v>27</v>
      </c>
      <c r="J631" s="19" t="s">
        <v>318</v>
      </c>
    </row>
    <row r="632" customFormat="false" ht="15" hidden="false" customHeight="false" outlineLevel="0" collapsed="false">
      <c r="A632" s="19" t="s">
        <v>252</v>
      </c>
      <c r="B632" s="19" t="s">
        <v>277</v>
      </c>
      <c r="C632" s="19" t="s">
        <v>365</v>
      </c>
      <c r="D632" s="19" t="s">
        <v>952</v>
      </c>
      <c r="E632" s="22" t="n">
        <v>520</v>
      </c>
      <c r="F632" s="19"/>
      <c r="G632" s="22" t="n">
        <v>0</v>
      </c>
      <c r="H632" s="19"/>
      <c r="I632" s="23" t="s">
        <v>27</v>
      </c>
      <c r="J632" s="19" t="s">
        <v>318</v>
      </c>
    </row>
    <row r="633" customFormat="false" ht="15" hidden="false" customHeight="false" outlineLevel="0" collapsed="false">
      <c r="A633" s="19" t="s">
        <v>252</v>
      </c>
      <c r="B633" s="19" t="s">
        <v>254</v>
      </c>
      <c r="C633" s="19" t="s">
        <v>365</v>
      </c>
      <c r="D633" s="19" t="s">
        <v>953</v>
      </c>
      <c r="E633" s="22" t="n">
        <v>965</v>
      </c>
      <c r="F633" s="19"/>
      <c r="G633" s="22" t="n">
        <v>0</v>
      </c>
      <c r="H633" s="19"/>
      <c r="I633" s="23" t="s">
        <v>27</v>
      </c>
      <c r="J633" s="19" t="s">
        <v>318</v>
      </c>
    </row>
    <row r="634" customFormat="false" ht="15" hidden="false" customHeight="false" outlineLevel="0" collapsed="false">
      <c r="A634" s="19" t="s">
        <v>252</v>
      </c>
      <c r="B634" s="19" t="s">
        <v>138</v>
      </c>
      <c r="C634" s="19" t="s">
        <v>319</v>
      </c>
      <c r="D634" s="19" t="s">
        <v>954</v>
      </c>
      <c r="E634" s="22" t="n">
        <v>695</v>
      </c>
      <c r="F634" s="19"/>
      <c r="G634" s="22" t="n">
        <v>0</v>
      </c>
      <c r="H634" s="19"/>
      <c r="I634" s="23" t="s">
        <v>27</v>
      </c>
      <c r="J634" s="19" t="s">
        <v>318</v>
      </c>
    </row>
    <row r="635" customFormat="false" ht="15" hidden="false" customHeight="false" outlineLevel="0" collapsed="false">
      <c r="A635" s="19" t="s">
        <v>252</v>
      </c>
      <c r="B635" s="19" t="s">
        <v>272</v>
      </c>
      <c r="C635" s="19" t="s">
        <v>365</v>
      </c>
      <c r="D635" s="19" t="s">
        <v>955</v>
      </c>
      <c r="E635" s="22" t="n">
        <v>1612</v>
      </c>
      <c r="F635" s="19"/>
      <c r="G635" s="22" t="n">
        <v>0</v>
      </c>
      <c r="H635" s="19"/>
      <c r="I635" s="23" t="s">
        <v>27</v>
      </c>
      <c r="J635" s="19" t="s">
        <v>318</v>
      </c>
    </row>
    <row r="636" customFormat="false" ht="15" hidden="false" customHeight="false" outlineLevel="0" collapsed="false">
      <c r="A636" s="19" t="s">
        <v>252</v>
      </c>
      <c r="B636" s="19" t="s">
        <v>272</v>
      </c>
      <c r="C636" s="19" t="s">
        <v>365</v>
      </c>
      <c r="D636" s="19" t="s">
        <v>955</v>
      </c>
      <c r="E636" s="22" t="n">
        <v>1586</v>
      </c>
      <c r="F636" s="19"/>
      <c r="G636" s="22" t="n">
        <v>0</v>
      </c>
      <c r="H636" s="19"/>
      <c r="I636" s="23" t="s">
        <v>27</v>
      </c>
      <c r="J636" s="19" t="s">
        <v>318</v>
      </c>
    </row>
    <row r="637" customFormat="false" ht="15" hidden="false" customHeight="false" outlineLevel="0" collapsed="false">
      <c r="A637" s="19" t="s">
        <v>252</v>
      </c>
      <c r="B637" s="19" t="s">
        <v>272</v>
      </c>
      <c r="C637" s="19" t="s">
        <v>365</v>
      </c>
      <c r="D637" s="19" t="s">
        <v>412</v>
      </c>
      <c r="E637" s="22" t="n">
        <v>1561</v>
      </c>
      <c r="F637" s="19"/>
      <c r="G637" s="22" t="n">
        <v>0</v>
      </c>
      <c r="H637" s="19"/>
      <c r="I637" s="23" t="s">
        <v>27</v>
      </c>
      <c r="J637" s="19" t="s">
        <v>318</v>
      </c>
    </row>
    <row r="638" customFormat="false" ht="15" hidden="false" customHeight="false" outlineLevel="0" collapsed="false">
      <c r="A638" s="19" t="s">
        <v>252</v>
      </c>
      <c r="B638" s="19" t="s">
        <v>315</v>
      </c>
      <c r="C638" s="19" t="s">
        <v>316</v>
      </c>
      <c r="D638" s="19" t="s">
        <v>956</v>
      </c>
      <c r="E638" s="22" t="n">
        <v>719</v>
      </c>
      <c r="F638" s="19"/>
      <c r="G638" s="22" t="n">
        <v>0</v>
      </c>
      <c r="H638" s="19"/>
      <c r="I638" s="23" t="s">
        <v>27</v>
      </c>
      <c r="J638" s="19" t="s">
        <v>414</v>
      </c>
    </row>
    <row r="639" customFormat="false" ht="15" hidden="false" customHeight="false" outlineLevel="0" collapsed="false">
      <c r="A639" s="19" t="s">
        <v>252</v>
      </c>
      <c r="B639" s="19" t="s">
        <v>138</v>
      </c>
      <c r="C639" s="19" t="s">
        <v>446</v>
      </c>
      <c r="D639" s="19" t="s">
        <v>957</v>
      </c>
      <c r="E639" s="22" t="n">
        <v>825</v>
      </c>
      <c r="F639" s="19"/>
      <c r="G639" s="22" t="n">
        <v>0</v>
      </c>
      <c r="H639" s="19"/>
      <c r="I639" s="23" t="s">
        <v>27</v>
      </c>
      <c r="J639" s="19" t="s">
        <v>414</v>
      </c>
    </row>
    <row r="640" customFormat="false" ht="15" hidden="false" customHeight="false" outlineLevel="0" collapsed="false">
      <c r="A640" s="19" t="s">
        <v>252</v>
      </c>
      <c r="B640" s="19" t="s">
        <v>138</v>
      </c>
      <c r="C640" s="19" t="s">
        <v>367</v>
      </c>
      <c r="D640" s="19" t="s">
        <v>958</v>
      </c>
      <c r="E640" s="22" t="n">
        <v>784</v>
      </c>
      <c r="F640" s="19"/>
      <c r="G640" s="22" t="n">
        <v>0</v>
      </c>
      <c r="H640" s="19"/>
      <c r="I640" s="23" t="s">
        <v>27</v>
      </c>
      <c r="J640" s="19" t="s">
        <v>414</v>
      </c>
    </row>
    <row r="641" customFormat="false" ht="15" hidden="false" customHeight="false" outlineLevel="0" collapsed="false">
      <c r="A641" s="19" t="s">
        <v>252</v>
      </c>
      <c r="B641" s="19" t="s">
        <v>138</v>
      </c>
      <c r="C641" s="19" t="s">
        <v>367</v>
      </c>
      <c r="D641" s="19" t="s">
        <v>959</v>
      </c>
      <c r="E641" s="22" t="n">
        <v>1103</v>
      </c>
      <c r="F641" s="19"/>
      <c r="G641" s="22" t="n">
        <v>0</v>
      </c>
      <c r="H641" s="19"/>
      <c r="I641" s="23" t="s">
        <v>27</v>
      </c>
      <c r="J641" s="19" t="s">
        <v>414</v>
      </c>
    </row>
    <row r="642" customFormat="false" ht="15" hidden="false" customHeight="false" outlineLevel="0" collapsed="false">
      <c r="A642" s="19" t="s">
        <v>252</v>
      </c>
      <c r="B642" s="19" t="s">
        <v>244</v>
      </c>
      <c r="C642" s="19" t="s">
        <v>365</v>
      </c>
      <c r="D642" s="19" t="s">
        <v>960</v>
      </c>
      <c r="E642" s="22" t="n">
        <v>293</v>
      </c>
      <c r="F642" s="19"/>
      <c r="G642" s="22" t="n">
        <v>0</v>
      </c>
      <c r="H642" s="19"/>
      <c r="I642" s="23" t="s">
        <v>27</v>
      </c>
      <c r="J642" s="19" t="s">
        <v>339</v>
      </c>
    </row>
    <row r="643" customFormat="false" ht="15" hidden="false" customHeight="false" outlineLevel="0" collapsed="false">
      <c r="A643" s="19" t="s">
        <v>252</v>
      </c>
      <c r="B643" s="19" t="s">
        <v>244</v>
      </c>
      <c r="C643" s="19" t="s">
        <v>365</v>
      </c>
      <c r="D643" s="19" t="s">
        <v>961</v>
      </c>
      <c r="E643" s="22" t="n">
        <v>731</v>
      </c>
      <c r="F643" s="19"/>
      <c r="G643" s="22" t="n">
        <v>0</v>
      </c>
      <c r="H643" s="19"/>
      <c r="I643" s="23" t="s">
        <v>27</v>
      </c>
      <c r="J643" s="19" t="s">
        <v>339</v>
      </c>
    </row>
    <row r="644" customFormat="false" ht="15" hidden="false" customHeight="false" outlineLevel="0" collapsed="false">
      <c r="A644" s="19" t="s">
        <v>252</v>
      </c>
      <c r="B644" s="19" t="s">
        <v>244</v>
      </c>
      <c r="C644" s="19" t="s">
        <v>365</v>
      </c>
      <c r="D644" s="19" t="s">
        <v>962</v>
      </c>
      <c r="E644" s="22" t="n">
        <v>504</v>
      </c>
      <c r="F644" s="19"/>
      <c r="G644" s="22" t="n">
        <v>0</v>
      </c>
      <c r="H644" s="19"/>
      <c r="I644" s="23" t="s">
        <v>27</v>
      </c>
      <c r="J644" s="19" t="s">
        <v>339</v>
      </c>
    </row>
    <row r="645" customFormat="false" ht="15" hidden="false" customHeight="false" outlineLevel="0" collapsed="false">
      <c r="A645" s="19" t="s">
        <v>252</v>
      </c>
      <c r="B645" s="19" t="s">
        <v>244</v>
      </c>
      <c r="C645" s="19" t="s">
        <v>365</v>
      </c>
      <c r="D645" s="19" t="s">
        <v>963</v>
      </c>
      <c r="E645" s="22" t="n">
        <v>504</v>
      </c>
      <c r="F645" s="19"/>
      <c r="G645" s="22" t="n">
        <v>0</v>
      </c>
      <c r="H645" s="19"/>
      <c r="I645" s="23" t="s">
        <v>27</v>
      </c>
      <c r="J645" s="19" t="s">
        <v>339</v>
      </c>
    </row>
    <row r="646" customFormat="false" ht="15" hidden="false" customHeight="false" outlineLevel="0" collapsed="false">
      <c r="A646" s="19" t="s">
        <v>252</v>
      </c>
      <c r="B646" s="19" t="s">
        <v>244</v>
      </c>
      <c r="C646" s="19" t="s">
        <v>365</v>
      </c>
      <c r="D646" s="19" t="s">
        <v>964</v>
      </c>
      <c r="E646" s="22" t="n">
        <v>504</v>
      </c>
      <c r="F646" s="19"/>
      <c r="G646" s="22" t="n">
        <v>0</v>
      </c>
      <c r="H646" s="19"/>
      <c r="I646" s="23" t="s">
        <v>27</v>
      </c>
      <c r="J646" s="19" t="s">
        <v>339</v>
      </c>
    </row>
    <row r="647" customFormat="false" ht="15" hidden="false" customHeight="false" outlineLevel="0" collapsed="false">
      <c r="A647" s="19" t="s">
        <v>252</v>
      </c>
      <c r="B647" s="19" t="s">
        <v>138</v>
      </c>
      <c r="C647" s="19" t="s">
        <v>367</v>
      </c>
      <c r="D647" s="19" t="s">
        <v>965</v>
      </c>
      <c r="E647" s="22" t="n">
        <v>618</v>
      </c>
      <c r="F647" s="19"/>
      <c r="G647" s="22" t="n">
        <v>0</v>
      </c>
      <c r="H647" s="19"/>
      <c r="I647" s="23" t="s">
        <v>27</v>
      </c>
      <c r="J647" s="19" t="s">
        <v>390</v>
      </c>
    </row>
    <row r="648" customFormat="false" ht="15" hidden="false" customHeight="false" outlineLevel="0" collapsed="false">
      <c r="A648" s="19" t="s">
        <v>252</v>
      </c>
      <c r="B648" s="19" t="s">
        <v>138</v>
      </c>
      <c r="C648" s="19" t="s">
        <v>367</v>
      </c>
      <c r="D648" s="19" t="s">
        <v>966</v>
      </c>
      <c r="E648" s="22" t="n">
        <v>600</v>
      </c>
      <c r="F648" s="19"/>
      <c r="G648" s="22" t="n">
        <v>0</v>
      </c>
      <c r="H648" s="19"/>
      <c r="I648" s="23" t="s">
        <v>27</v>
      </c>
      <c r="J648" s="19" t="s">
        <v>390</v>
      </c>
    </row>
    <row r="649" customFormat="false" ht="15" hidden="false" customHeight="false" outlineLevel="0" collapsed="false">
      <c r="A649" s="19" t="s">
        <v>252</v>
      </c>
      <c r="B649" s="19" t="s">
        <v>138</v>
      </c>
      <c r="C649" s="19" t="s">
        <v>367</v>
      </c>
      <c r="D649" s="19" t="s">
        <v>967</v>
      </c>
      <c r="E649" s="22" t="n">
        <v>826</v>
      </c>
      <c r="F649" s="19"/>
      <c r="G649" s="22" t="n">
        <v>0</v>
      </c>
      <c r="H649" s="19"/>
      <c r="I649" s="23" t="s">
        <v>27</v>
      </c>
      <c r="J649" s="19" t="s">
        <v>390</v>
      </c>
    </row>
    <row r="650" customFormat="false" ht="15" hidden="false" customHeight="false" outlineLevel="0" collapsed="false">
      <c r="A650" s="19" t="s">
        <v>252</v>
      </c>
      <c r="B650" s="19" t="s">
        <v>138</v>
      </c>
      <c r="C650" s="19" t="s">
        <v>319</v>
      </c>
      <c r="D650" s="19" t="s">
        <v>968</v>
      </c>
      <c r="E650" s="22" t="n">
        <v>92</v>
      </c>
      <c r="F650" s="19"/>
      <c r="G650" s="22" t="n">
        <v>0</v>
      </c>
      <c r="H650" s="19"/>
      <c r="I650" s="23" t="s">
        <v>27</v>
      </c>
      <c r="J650" s="19" t="s">
        <v>390</v>
      </c>
    </row>
    <row r="651" customFormat="false" ht="15" hidden="false" customHeight="false" outlineLevel="0" collapsed="false">
      <c r="A651" s="19" t="s">
        <v>252</v>
      </c>
      <c r="B651" s="19" t="s">
        <v>138</v>
      </c>
      <c r="C651" s="19" t="s">
        <v>319</v>
      </c>
      <c r="D651" s="19" t="s">
        <v>969</v>
      </c>
      <c r="E651" s="22" t="n">
        <v>92</v>
      </c>
      <c r="F651" s="19"/>
      <c r="G651" s="22" t="n">
        <v>0</v>
      </c>
      <c r="H651" s="19"/>
      <c r="I651" s="23" t="s">
        <v>27</v>
      </c>
      <c r="J651" s="19" t="s">
        <v>390</v>
      </c>
    </row>
    <row r="652" customFormat="false" ht="15" hidden="false" customHeight="false" outlineLevel="0" collapsed="false">
      <c r="A652" s="19" t="s">
        <v>252</v>
      </c>
      <c r="B652" s="19" t="s">
        <v>138</v>
      </c>
      <c r="C652" s="19" t="s">
        <v>367</v>
      </c>
      <c r="D652" s="19" t="s">
        <v>970</v>
      </c>
      <c r="E652" s="22" t="n">
        <v>1262</v>
      </c>
      <c r="F652" s="19"/>
      <c r="G652" s="22" t="n">
        <v>0</v>
      </c>
      <c r="H652" s="19"/>
      <c r="I652" s="23" t="s">
        <v>27</v>
      </c>
      <c r="J652" s="19" t="s">
        <v>390</v>
      </c>
    </row>
    <row r="653" customFormat="false" ht="15" hidden="false" customHeight="false" outlineLevel="0" collapsed="false">
      <c r="A653" s="19" t="s">
        <v>252</v>
      </c>
      <c r="B653" s="19" t="s">
        <v>263</v>
      </c>
      <c r="C653" s="19" t="s">
        <v>365</v>
      </c>
      <c r="D653" s="19" t="s">
        <v>971</v>
      </c>
      <c r="E653" s="22" t="n">
        <v>1331</v>
      </c>
      <c r="F653" s="19"/>
      <c r="G653" s="22" t="n">
        <v>0</v>
      </c>
      <c r="H653" s="19"/>
      <c r="I653" s="23" t="s">
        <v>27</v>
      </c>
      <c r="J653" s="19" t="s">
        <v>390</v>
      </c>
    </row>
    <row r="654" customFormat="false" ht="15" hidden="false" customHeight="false" outlineLevel="0" collapsed="false">
      <c r="A654" s="19" t="s">
        <v>252</v>
      </c>
      <c r="B654" s="19" t="s">
        <v>138</v>
      </c>
      <c r="C654" s="19" t="s">
        <v>367</v>
      </c>
      <c r="D654" s="19" t="s">
        <v>972</v>
      </c>
      <c r="E654" s="22" t="n">
        <v>92</v>
      </c>
      <c r="F654" s="19"/>
      <c r="G654" s="22" t="n">
        <v>0</v>
      </c>
      <c r="H654" s="19"/>
      <c r="I654" s="23" t="s">
        <v>27</v>
      </c>
      <c r="J654" s="19" t="s">
        <v>390</v>
      </c>
    </row>
    <row r="655" customFormat="false" ht="15" hidden="false" customHeight="false" outlineLevel="0" collapsed="false">
      <c r="A655" s="19" t="s">
        <v>252</v>
      </c>
      <c r="B655" s="19" t="s">
        <v>138</v>
      </c>
      <c r="C655" s="19" t="s">
        <v>367</v>
      </c>
      <c r="D655" s="19" t="s">
        <v>973</v>
      </c>
      <c r="E655" s="22" t="n">
        <v>92</v>
      </c>
      <c r="F655" s="19"/>
      <c r="G655" s="22" t="n">
        <v>0</v>
      </c>
      <c r="H655" s="19"/>
      <c r="I655" s="23" t="s">
        <v>27</v>
      </c>
      <c r="J655" s="19" t="s">
        <v>390</v>
      </c>
    </row>
    <row r="656" customFormat="false" ht="15" hidden="false" customHeight="false" outlineLevel="0" collapsed="false">
      <c r="A656" s="19" t="s">
        <v>252</v>
      </c>
      <c r="B656" s="19" t="s">
        <v>138</v>
      </c>
      <c r="C656" s="19" t="s">
        <v>319</v>
      </c>
      <c r="D656" s="19" t="s">
        <v>974</v>
      </c>
      <c r="E656" s="22" t="n">
        <v>610</v>
      </c>
      <c r="F656" s="19"/>
      <c r="G656" s="22" t="n">
        <v>0</v>
      </c>
      <c r="H656" s="19"/>
      <c r="I656" s="23" t="s">
        <v>27</v>
      </c>
      <c r="J656" s="19" t="s">
        <v>390</v>
      </c>
    </row>
    <row r="657" customFormat="false" ht="15" hidden="false" customHeight="false" outlineLevel="0" collapsed="false">
      <c r="A657" s="19" t="s">
        <v>252</v>
      </c>
      <c r="B657" s="19" t="s">
        <v>138</v>
      </c>
      <c r="C657" s="19" t="s">
        <v>367</v>
      </c>
      <c r="D657" s="19" t="s">
        <v>975</v>
      </c>
      <c r="E657" s="22" t="n">
        <v>92</v>
      </c>
      <c r="F657" s="19"/>
      <c r="G657" s="22" t="n">
        <v>0</v>
      </c>
      <c r="H657" s="19"/>
      <c r="I657" s="23" t="s">
        <v>27</v>
      </c>
      <c r="J657" s="19" t="s">
        <v>390</v>
      </c>
    </row>
    <row r="658" customFormat="false" ht="15" hidden="false" customHeight="false" outlineLevel="0" collapsed="false">
      <c r="A658" s="19" t="s">
        <v>252</v>
      </c>
      <c r="B658" s="19" t="s">
        <v>138</v>
      </c>
      <c r="C658" s="19" t="s">
        <v>319</v>
      </c>
      <c r="D658" s="19" t="s">
        <v>976</v>
      </c>
      <c r="E658" s="22" t="n">
        <v>647</v>
      </c>
      <c r="F658" s="19"/>
      <c r="G658" s="22" t="n">
        <v>0</v>
      </c>
      <c r="H658" s="19"/>
      <c r="I658" s="23" t="s">
        <v>27</v>
      </c>
      <c r="J658" s="19" t="s">
        <v>390</v>
      </c>
    </row>
    <row r="659" customFormat="false" ht="15" hidden="false" customHeight="false" outlineLevel="0" collapsed="false">
      <c r="A659" s="19" t="s">
        <v>252</v>
      </c>
      <c r="B659" s="19" t="s">
        <v>138</v>
      </c>
      <c r="C659" s="19" t="s">
        <v>319</v>
      </c>
      <c r="D659" s="19" t="s">
        <v>977</v>
      </c>
      <c r="E659" s="22" t="n">
        <v>486</v>
      </c>
      <c r="F659" s="19"/>
      <c r="G659" s="22" t="n">
        <v>0</v>
      </c>
      <c r="H659" s="19"/>
      <c r="I659" s="23" t="s">
        <v>27</v>
      </c>
      <c r="J659" s="19" t="s">
        <v>390</v>
      </c>
    </row>
    <row r="660" customFormat="false" ht="15" hidden="false" customHeight="false" outlineLevel="0" collapsed="false">
      <c r="A660" s="19" t="s">
        <v>252</v>
      </c>
      <c r="B660" s="19" t="s">
        <v>138</v>
      </c>
      <c r="C660" s="19" t="s">
        <v>319</v>
      </c>
      <c r="D660" s="19" t="s">
        <v>978</v>
      </c>
      <c r="E660" s="22" t="n">
        <v>498</v>
      </c>
      <c r="F660" s="19"/>
      <c r="G660" s="22" t="n">
        <v>0</v>
      </c>
      <c r="H660" s="19"/>
      <c r="I660" s="23" t="s">
        <v>27</v>
      </c>
      <c r="J660" s="19" t="s">
        <v>390</v>
      </c>
    </row>
    <row r="661" customFormat="false" ht="15" hidden="false" customHeight="false" outlineLevel="0" collapsed="false">
      <c r="A661" s="19" t="s">
        <v>252</v>
      </c>
      <c r="B661" s="19" t="s">
        <v>254</v>
      </c>
      <c r="C661" s="19" t="s">
        <v>365</v>
      </c>
      <c r="D661" s="19" t="s">
        <v>979</v>
      </c>
      <c r="E661" s="22" t="n">
        <v>10308</v>
      </c>
      <c r="F661" s="19"/>
      <c r="G661" s="22" t="n">
        <v>0</v>
      </c>
      <c r="H661" s="19"/>
      <c r="I661" s="23" t="s">
        <v>27</v>
      </c>
      <c r="J661" s="19" t="s">
        <v>364</v>
      </c>
    </row>
    <row r="662" customFormat="false" ht="15" hidden="false" customHeight="false" outlineLevel="0" collapsed="false">
      <c r="A662" s="19" t="s">
        <v>252</v>
      </c>
      <c r="B662" s="19" t="s">
        <v>267</v>
      </c>
      <c r="C662" s="19" t="s">
        <v>365</v>
      </c>
      <c r="D662" s="19" t="s">
        <v>980</v>
      </c>
      <c r="E662" s="22" t="n">
        <v>1542</v>
      </c>
      <c r="F662" s="19"/>
      <c r="G662" s="22" t="n">
        <v>0</v>
      </c>
      <c r="H662" s="19"/>
      <c r="I662" s="23" t="s">
        <v>27</v>
      </c>
      <c r="J662" s="19" t="s">
        <v>479</v>
      </c>
    </row>
    <row r="663" customFormat="false" ht="15" hidden="false" customHeight="false" outlineLevel="0" collapsed="false">
      <c r="A663" s="19" t="s">
        <v>252</v>
      </c>
      <c r="B663" s="19" t="s">
        <v>267</v>
      </c>
      <c r="C663" s="19" t="s">
        <v>365</v>
      </c>
      <c r="D663" s="19" t="s">
        <v>981</v>
      </c>
      <c r="E663" s="22" t="n">
        <v>935</v>
      </c>
      <c r="F663" s="19"/>
      <c r="G663" s="22" t="n">
        <v>0</v>
      </c>
      <c r="H663" s="19"/>
      <c r="I663" s="23" t="s">
        <v>27</v>
      </c>
      <c r="J663" s="19" t="s">
        <v>479</v>
      </c>
    </row>
    <row r="664" customFormat="false" ht="15" hidden="false" customHeight="false" outlineLevel="0" collapsed="false">
      <c r="A664" s="19" t="s">
        <v>252</v>
      </c>
      <c r="B664" s="19" t="s">
        <v>272</v>
      </c>
      <c r="C664" s="19" t="s">
        <v>365</v>
      </c>
      <c r="D664" s="19" t="s">
        <v>982</v>
      </c>
      <c r="E664" s="22" t="n">
        <v>5337</v>
      </c>
      <c r="F664" s="19"/>
      <c r="G664" s="22" t="n">
        <v>0</v>
      </c>
      <c r="H664" s="19"/>
      <c r="I664" s="23" t="s">
        <v>27</v>
      </c>
      <c r="J664" s="19" t="s">
        <v>370</v>
      </c>
    </row>
    <row r="665" customFormat="false" ht="15" hidden="false" customHeight="false" outlineLevel="0" collapsed="false">
      <c r="A665" s="19" t="s">
        <v>252</v>
      </c>
      <c r="B665" s="19" t="s">
        <v>272</v>
      </c>
      <c r="C665" s="19" t="s">
        <v>365</v>
      </c>
      <c r="D665" s="19" t="s">
        <v>983</v>
      </c>
      <c r="E665" s="22" t="n">
        <v>9965</v>
      </c>
      <c r="F665" s="19"/>
      <c r="G665" s="22" t="n">
        <v>0</v>
      </c>
      <c r="H665" s="19"/>
      <c r="I665" s="23" t="s">
        <v>27</v>
      </c>
      <c r="J665" s="19" t="s">
        <v>370</v>
      </c>
    </row>
    <row r="666" customFormat="false" ht="15" hidden="false" customHeight="false" outlineLevel="0" collapsed="false">
      <c r="A666" s="19" t="s">
        <v>252</v>
      </c>
      <c r="B666" s="19" t="s">
        <v>272</v>
      </c>
      <c r="C666" s="19" t="s">
        <v>365</v>
      </c>
      <c r="D666" s="19" t="s">
        <v>984</v>
      </c>
      <c r="E666" s="22" t="n">
        <v>10308</v>
      </c>
      <c r="F666" s="19"/>
      <c r="G666" s="22" t="n">
        <v>0</v>
      </c>
      <c r="H666" s="19"/>
      <c r="I666" s="23" t="s">
        <v>27</v>
      </c>
      <c r="J666" s="19" t="s">
        <v>370</v>
      </c>
    </row>
    <row r="667" customFormat="false" ht="15" hidden="false" customHeight="false" outlineLevel="0" collapsed="false">
      <c r="A667" s="19" t="s">
        <v>246</v>
      </c>
      <c r="B667" s="19" t="s">
        <v>138</v>
      </c>
      <c r="C667" s="19" t="s">
        <v>367</v>
      </c>
      <c r="D667" s="19" t="s">
        <v>985</v>
      </c>
      <c r="E667" s="22" t="n">
        <v>367</v>
      </c>
      <c r="F667" s="19"/>
      <c r="G667" s="22" t="n">
        <v>0</v>
      </c>
      <c r="H667" s="19"/>
      <c r="I667" s="23" t="s">
        <v>27</v>
      </c>
      <c r="J667" s="19" t="s">
        <v>372</v>
      </c>
    </row>
    <row r="668" customFormat="false" ht="15" hidden="false" customHeight="false" outlineLevel="0" collapsed="false">
      <c r="A668" s="19" t="s">
        <v>246</v>
      </c>
      <c r="B668" s="19" t="s">
        <v>254</v>
      </c>
      <c r="C668" s="19" t="s">
        <v>365</v>
      </c>
      <c r="D668" s="19" t="s">
        <v>986</v>
      </c>
      <c r="E668" s="22" t="n">
        <v>360</v>
      </c>
      <c r="F668" s="19"/>
      <c r="G668" s="22" t="n">
        <v>0</v>
      </c>
      <c r="H668" s="19"/>
      <c r="I668" s="23" t="s">
        <v>27</v>
      </c>
      <c r="J668" s="19" t="s">
        <v>372</v>
      </c>
    </row>
    <row r="669" customFormat="false" ht="15" hidden="false" customHeight="false" outlineLevel="0" collapsed="false">
      <c r="A669" s="19" t="s">
        <v>246</v>
      </c>
      <c r="B669" s="19" t="s">
        <v>138</v>
      </c>
      <c r="C669" s="19" t="s">
        <v>367</v>
      </c>
      <c r="D669" s="19" t="s">
        <v>987</v>
      </c>
      <c r="E669" s="22" t="n">
        <v>1476</v>
      </c>
      <c r="F669" s="19"/>
      <c r="G669" s="22" t="n">
        <v>0</v>
      </c>
      <c r="H669" s="19"/>
      <c r="I669" s="23" t="s">
        <v>27</v>
      </c>
      <c r="J669" s="19" t="s">
        <v>422</v>
      </c>
    </row>
    <row r="670" customFormat="false" ht="15" hidden="false" customHeight="false" outlineLevel="0" collapsed="false">
      <c r="A670" s="19" t="s">
        <v>246</v>
      </c>
      <c r="B670" s="19" t="s">
        <v>138</v>
      </c>
      <c r="C670" s="19" t="s">
        <v>367</v>
      </c>
      <c r="D670" s="19" t="s">
        <v>498</v>
      </c>
      <c r="E670" s="22" t="n">
        <v>1072</v>
      </c>
      <c r="F670" s="19"/>
      <c r="G670" s="22" t="n">
        <v>0</v>
      </c>
      <c r="H670" s="19"/>
      <c r="I670" s="23" t="s">
        <v>27</v>
      </c>
      <c r="J670" s="19" t="s">
        <v>422</v>
      </c>
    </row>
    <row r="671" customFormat="false" ht="15" hidden="false" customHeight="false" outlineLevel="0" collapsed="false">
      <c r="A671" s="19" t="s">
        <v>246</v>
      </c>
      <c r="B671" s="19" t="s">
        <v>315</v>
      </c>
      <c r="C671" s="19" t="s">
        <v>316</v>
      </c>
      <c r="D671" s="19" t="s">
        <v>988</v>
      </c>
      <c r="E671" s="22" t="n">
        <v>473</v>
      </c>
      <c r="F671" s="19"/>
      <c r="G671" s="22" t="n">
        <v>0</v>
      </c>
      <c r="H671" s="19"/>
      <c r="I671" s="23" t="s">
        <v>27</v>
      </c>
      <c r="J671" s="19" t="s">
        <v>422</v>
      </c>
    </row>
    <row r="672" customFormat="false" ht="15" hidden="false" customHeight="false" outlineLevel="0" collapsed="false">
      <c r="A672" s="19" t="s">
        <v>332</v>
      </c>
      <c r="B672" s="19" t="s">
        <v>138</v>
      </c>
      <c r="C672" s="19" t="s">
        <v>446</v>
      </c>
      <c r="D672" s="19" t="s">
        <v>989</v>
      </c>
      <c r="E672" s="22" t="n">
        <v>2443</v>
      </c>
      <c r="F672" s="19"/>
      <c r="G672" s="22" t="n">
        <v>0</v>
      </c>
      <c r="H672" s="19"/>
      <c r="I672" s="23" t="s">
        <v>27</v>
      </c>
      <c r="J672" s="19" t="s">
        <v>422</v>
      </c>
    </row>
    <row r="673" customFormat="false" ht="15" hidden="false" customHeight="false" outlineLevel="0" collapsed="false">
      <c r="A673" s="19" t="s">
        <v>246</v>
      </c>
      <c r="B673" s="19" t="s">
        <v>138</v>
      </c>
      <c r="C673" s="19" t="s">
        <v>446</v>
      </c>
      <c r="D673" s="19" t="s">
        <v>990</v>
      </c>
      <c r="E673" s="22" t="n">
        <v>1444</v>
      </c>
      <c r="F673" s="19"/>
      <c r="G673" s="22" t="n">
        <v>0</v>
      </c>
      <c r="H673" s="19"/>
      <c r="I673" s="23" t="s">
        <v>27</v>
      </c>
      <c r="J673" s="19" t="s">
        <v>422</v>
      </c>
    </row>
    <row r="674" customFormat="false" ht="15" hidden="false" customHeight="false" outlineLevel="0" collapsed="false">
      <c r="A674" s="19" t="s">
        <v>246</v>
      </c>
      <c r="B674" s="19" t="s">
        <v>244</v>
      </c>
      <c r="C674" s="19" t="s">
        <v>365</v>
      </c>
      <c r="D674" s="19" t="s">
        <v>637</v>
      </c>
      <c r="E674" s="22" t="n">
        <v>1016</v>
      </c>
      <c r="F674" s="19"/>
      <c r="G674" s="22" t="n">
        <v>0</v>
      </c>
      <c r="H674" s="19"/>
      <c r="I674" s="23" t="s">
        <v>27</v>
      </c>
      <c r="J674" s="19" t="s">
        <v>422</v>
      </c>
    </row>
    <row r="675" customFormat="false" ht="15" hidden="false" customHeight="false" outlineLevel="0" collapsed="false">
      <c r="A675" s="19" t="s">
        <v>246</v>
      </c>
      <c r="B675" s="19" t="s">
        <v>138</v>
      </c>
      <c r="C675" s="19" t="s">
        <v>367</v>
      </c>
      <c r="D675" s="19" t="s">
        <v>991</v>
      </c>
      <c r="E675" s="22" t="n">
        <v>1064</v>
      </c>
      <c r="F675" s="19"/>
      <c r="G675" s="22" t="n">
        <v>0</v>
      </c>
      <c r="H675" s="19"/>
      <c r="I675" s="23" t="s">
        <v>27</v>
      </c>
      <c r="J675" s="19" t="s">
        <v>422</v>
      </c>
    </row>
    <row r="676" customFormat="false" ht="15" hidden="false" customHeight="false" outlineLevel="0" collapsed="false">
      <c r="A676" s="19" t="s">
        <v>246</v>
      </c>
      <c r="B676" s="19" t="s">
        <v>244</v>
      </c>
      <c r="C676" s="19" t="s">
        <v>365</v>
      </c>
      <c r="D676" s="19" t="s">
        <v>992</v>
      </c>
      <c r="E676" s="22" t="n">
        <v>1964</v>
      </c>
      <c r="F676" s="19"/>
      <c r="G676" s="22" t="n">
        <v>0</v>
      </c>
      <c r="H676" s="19"/>
      <c r="I676" s="23" t="s">
        <v>27</v>
      </c>
      <c r="J676" s="19" t="s">
        <v>323</v>
      </c>
    </row>
    <row r="677" customFormat="false" ht="15" hidden="false" customHeight="false" outlineLevel="0" collapsed="false">
      <c r="A677" s="19" t="s">
        <v>246</v>
      </c>
      <c r="B677" s="19" t="s">
        <v>138</v>
      </c>
      <c r="C677" s="19" t="s">
        <v>367</v>
      </c>
      <c r="D677" s="19" t="s">
        <v>993</v>
      </c>
      <c r="E677" s="22" t="n">
        <v>334</v>
      </c>
      <c r="F677" s="19"/>
      <c r="G677" s="22" t="n">
        <v>0</v>
      </c>
      <c r="H677" s="19"/>
      <c r="I677" s="23" t="s">
        <v>27</v>
      </c>
      <c r="J677" s="19" t="s">
        <v>323</v>
      </c>
    </row>
    <row r="678" customFormat="false" ht="15" hidden="false" customHeight="false" outlineLevel="0" collapsed="false">
      <c r="A678" s="19" t="s">
        <v>246</v>
      </c>
      <c r="B678" s="19" t="s">
        <v>138</v>
      </c>
      <c r="C678" s="19" t="s">
        <v>367</v>
      </c>
      <c r="D678" s="19" t="s">
        <v>994</v>
      </c>
      <c r="E678" s="22" t="n">
        <v>466</v>
      </c>
      <c r="F678" s="19"/>
      <c r="G678" s="22" t="n">
        <v>0</v>
      </c>
      <c r="H678" s="19"/>
      <c r="I678" s="23" t="s">
        <v>27</v>
      </c>
      <c r="J678" s="19" t="s">
        <v>323</v>
      </c>
    </row>
    <row r="679" customFormat="false" ht="15" hidden="false" customHeight="false" outlineLevel="0" collapsed="false">
      <c r="A679" s="19" t="s">
        <v>246</v>
      </c>
      <c r="B679" s="19" t="s">
        <v>138</v>
      </c>
      <c r="C679" s="19" t="s">
        <v>367</v>
      </c>
      <c r="D679" s="19" t="s">
        <v>995</v>
      </c>
      <c r="E679" s="22" t="n">
        <v>541</v>
      </c>
      <c r="F679" s="19"/>
      <c r="G679" s="22" t="n">
        <v>0</v>
      </c>
      <c r="H679" s="19"/>
      <c r="I679" s="23" t="s">
        <v>27</v>
      </c>
      <c r="J679" s="19" t="s">
        <v>326</v>
      </c>
    </row>
    <row r="680" customFormat="false" ht="15" hidden="false" customHeight="false" outlineLevel="0" collapsed="false">
      <c r="A680" s="19" t="s">
        <v>246</v>
      </c>
      <c r="B680" s="19" t="s">
        <v>138</v>
      </c>
      <c r="C680" s="19" t="s">
        <v>367</v>
      </c>
      <c r="D680" s="19" t="s">
        <v>996</v>
      </c>
      <c r="E680" s="22" t="n">
        <v>264</v>
      </c>
      <c r="F680" s="19"/>
      <c r="G680" s="22" t="n">
        <v>0</v>
      </c>
      <c r="H680" s="19"/>
      <c r="I680" s="23" t="s">
        <v>27</v>
      </c>
      <c r="J680" s="19" t="s">
        <v>326</v>
      </c>
    </row>
    <row r="681" customFormat="false" ht="15" hidden="false" customHeight="false" outlineLevel="0" collapsed="false">
      <c r="A681" s="19" t="s">
        <v>246</v>
      </c>
      <c r="B681" s="19" t="s">
        <v>138</v>
      </c>
      <c r="C681" s="19" t="s">
        <v>367</v>
      </c>
      <c r="D681" s="19" t="s">
        <v>997</v>
      </c>
      <c r="E681" s="22" t="n">
        <v>264</v>
      </c>
      <c r="F681" s="19"/>
      <c r="G681" s="22" t="n">
        <v>0</v>
      </c>
      <c r="H681" s="19"/>
      <c r="I681" s="23" t="s">
        <v>27</v>
      </c>
      <c r="J681" s="19" t="s">
        <v>326</v>
      </c>
    </row>
    <row r="682" customFormat="false" ht="15" hidden="false" customHeight="false" outlineLevel="0" collapsed="false">
      <c r="A682" s="19" t="s">
        <v>246</v>
      </c>
      <c r="B682" s="19" t="s">
        <v>138</v>
      </c>
      <c r="C682" s="19" t="s">
        <v>367</v>
      </c>
      <c r="D682" s="19" t="s">
        <v>998</v>
      </c>
      <c r="E682" s="22" t="n">
        <v>170</v>
      </c>
      <c r="F682" s="19"/>
      <c r="G682" s="22" t="n">
        <v>0</v>
      </c>
      <c r="H682" s="19"/>
      <c r="I682" s="23" t="s">
        <v>27</v>
      </c>
      <c r="J682" s="19" t="s">
        <v>351</v>
      </c>
    </row>
    <row r="683" customFormat="false" ht="15" hidden="false" customHeight="false" outlineLevel="0" collapsed="false">
      <c r="A683" s="19" t="s">
        <v>246</v>
      </c>
      <c r="B683" s="19" t="s">
        <v>138</v>
      </c>
      <c r="C683" s="19" t="s">
        <v>367</v>
      </c>
      <c r="D683" s="19" t="s">
        <v>999</v>
      </c>
      <c r="E683" s="22" t="n">
        <v>1566</v>
      </c>
      <c r="F683" s="19" t="n">
        <v>1.43</v>
      </c>
      <c r="G683" s="22" t="n">
        <v>0</v>
      </c>
      <c r="H683" s="19"/>
      <c r="I683" s="23" t="s">
        <v>27</v>
      </c>
      <c r="J683" s="19" t="s">
        <v>351</v>
      </c>
    </row>
    <row r="684" customFormat="false" ht="15" hidden="false" customHeight="false" outlineLevel="0" collapsed="false">
      <c r="A684" s="19" t="s">
        <v>246</v>
      </c>
      <c r="B684" s="19" t="s">
        <v>267</v>
      </c>
      <c r="C684" s="19" t="s">
        <v>365</v>
      </c>
      <c r="D684" s="19" t="s">
        <v>1000</v>
      </c>
      <c r="E684" s="22" t="n">
        <v>7036</v>
      </c>
      <c r="F684" s="19"/>
      <c r="G684" s="22" t="n">
        <v>0</v>
      </c>
      <c r="H684" s="19"/>
      <c r="I684" s="23" t="s">
        <v>27</v>
      </c>
      <c r="J684" s="19" t="s">
        <v>430</v>
      </c>
    </row>
    <row r="685" customFormat="false" ht="15" hidden="false" customHeight="false" outlineLevel="0" collapsed="false">
      <c r="A685" s="19" t="s">
        <v>249</v>
      </c>
      <c r="B685" s="19" t="s">
        <v>138</v>
      </c>
      <c r="C685" s="19" t="s">
        <v>367</v>
      </c>
      <c r="D685" s="19" t="s">
        <v>1001</v>
      </c>
      <c r="E685" s="22" t="n">
        <v>674</v>
      </c>
      <c r="F685" s="19"/>
      <c r="G685" s="22" t="n">
        <v>0</v>
      </c>
      <c r="H685" s="19"/>
      <c r="I685" s="23" t="s">
        <v>27</v>
      </c>
      <c r="J685" s="19" t="s">
        <v>428</v>
      </c>
    </row>
    <row r="686" customFormat="false" ht="15" hidden="false" customHeight="false" outlineLevel="0" collapsed="false">
      <c r="A686" s="19" t="s">
        <v>249</v>
      </c>
      <c r="B686" s="19" t="s">
        <v>138</v>
      </c>
      <c r="C686" s="19" t="s">
        <v>446</v>
      </c>
      <c r="D686" s="19" t="s">
        <v>1002</v>
      </c>
      <c r="E686" s="22" t="n">
        <v>1701</v>
      </c>
      <c r="F686" s="19"/>
      <c r="G686" s="22" t="n">
        <v>0</v>
      </c>
      <c r="H686" s="19"/>
      <c r="I686" s="23" t="s">
        <v>27</v>
      </c>
      <c r="J686" s="19" t="s">
        <v>428</v>
      </c>
    </row>
    <row r="687" customFormat="false" ht="15" hidden="false" customHeight="false" outlineLevel="0" collapsed="false">
      <c r="A687" s="19" t="s">
        <v>249</v>
      </c>
      <c r="B687" s="19" t="s">
        <v>138</v>
      </c>
      <c r="C687" s="19" t="s">
        <v>446</v>
      </c>
      <c r="D687" s="19" t="s">
        <v>1003</v>
      </c>
      <c r="E687" s="22" t="n">
        <v>1701</v>
      </c>
      <c r="F687" s="19"/>
      <c r="G687" s="22" t="n">
        <v>0</v>
      </c>
      <c r="H687" s="19"/>
      <c r="I687" s="23" t="s">
        <v>27</v>
      </c>
      <c r="J687" s="19" t="s">
        <v>428</v>
      </c>
    </row>
    <row r="688" customFormat="false" ht="15" hidden="false" customHeight="false" outlineLevel="0" collapsed="false">
      <c r="A688" s="19" t="s">
        <v>249</v>
      </c>
      <c r="B688" s="19" t="s">
        <v>138</v>
      </c>
      <c r="C688" s="19" t="s">
        <v>367</v>
      </c>
      <c r="D688" s="19" t="s">
        <v>1004</v>
      </c>
      <c r="E688" s="22" t="n">
        <v>1731</v>
      </c>
      <c r="F688" s="19"/>
      <c r="G688" s="22" t="n">
        <v>0</v>
      </c>
      <c r="H688" s="19"/>
      <c r="I688" s="23" t="s">
        <v>27</v>
      </c>
      <c r="J688" s="19" t="s">
        <v>428</v>
      </c>
    </row>
    <row r="689" customFormat="false" ht="15" hidden="false" customHeight="false" outlineLevel="0" collapsed="false">
      <c r="A689" s="19" t="s">
        <v>249</v>
      </c>
      <c r="B689" s="19" t="s">
        <v>277</v>
      </c>
      <c r="C689" s="19" t="s">
        <v>365</v>
      </c>
      <c r="D689" s="19" t="s">
        <v>1005</v>
      </c>
      <c r="E689" s="22" t="n">
        <v>2268</v>
      </c>
      <c r="F689" s="19"/>
      <c r="G689" s="22" t="n">
        <v>0</v>
      </c>
      <c r="H689" s="19"/>
      <c r="I689" s="23" t="s">
        <v>27</v>
      </c>
      <c r="J689" s="19" t="s">
        <v>428</v>
      </c>
    </row>
    <row r="690" customFormat="false" ht="15" hidden="false" customHeight="false" outlineLevel="0" collapsed="false">
      <c r="A690" s="19" t="s">
        <v>249</v>
      </c>
      <c r="B690" s="19" t="s">
        <v>244</v>
      </c>
      <c r="C690" s="19" t="s">
        <v>365</v>
      </c>
      <c r="D690" s="19" t="s">
        <v>1006</v>
      </c>
      <c r="E690" s="22" t="n">
        <v>1696</v>
      </c>
      <c r="F690" s="19"/>
      <c r="G690" s="22" t="n">
        <v>0</v>
      </c>
      <c r="H690" s="19"/>
      <c r="I690" s="23" t="s">
        <v>27</v>
      </c>
      <c r="J690" s="19" t="s">
        <v>428</v>
      </c>
    </row>
    <row r="691" customFormat="false" ht="15" hidden="false" customHeight="false" outlineLevel="0" collapsed="false">
      <c r="A691" s="19" t="s">
        <v>249</v>
      </c>
      <c r="B691" s="19" t="s">
        <v>138</v>
      </c>
      <c r="C691" s="19" t="s">
        <v>446</v>
      </c>
      <c r="D691" s="19" t="s">
        <v>1007</v>
      </c>
      <c r="E691" s="22" t="n">
        <v>2268</v>
      </c>
      <c r="F691" s="19"/>
      <c r="G691" s="22" t="n">
        <v>0</v>
      </c>
      <c r="H691" s="19"/>
      <c r="I691" s="23" t="s">
        <v>27</v>
      </c>
      <c r="J691" s="19" t="s">
        <v>428</v>
      </c>
    </row>
    <row r="692" customFormat="false" ht="15" hidden="false" customHeight="false" outlineLevel="0" collapsed="false">
      <c r="A692" s="19" t="s">
        <v>249</v>
      </c>
      <c r="B692" s="19" t="s">
        <v>267</v>
      </c>
      <c r="C692" s="19" t="s">
        <v>365</v>
      </c>
      <c r="D692" s="19" t="s">
        <v>1008</v>
      </c>
      <c r="E692" s="22" t="n">
        <v>3122</v>
      </c>
      <c r="F692" s="19"/>
      <c r="G692" s="22" t="n">
        <v>0</v>
      </c>
      <c r="H692" s="19"/>
      <c r="I692" s="23" t="s">
        <v>27</v>
      </c>
      <c r="J692" s="19" t="s">
        <v>428</v>
      </c>
    </row>
    <row r="693" customFormat="false" ht="15" hidden="false" customHeight="false" outlineLevel="0" collapsed="false">
      <c r="A693" s="19" t="s">
        <v>249</v>
      </c>
      <c r="B693" s="19" t="s">
        <v>263</v>
      </c>
      <c r="C693" s="19" t="s">
        <v>365</v>
      </c>
      <c r="D693" s="19" t="s">
        <v>1009</v>
      </c>
      <c r="E693" s="22" t="n">
        <v>584</v>
      </c>
      <c r="F693" s="19"/>
      <c r="G693" s="22" t="n">
        <v>0</v>
      </c>
      <c r="H693" s="19"/>
      <c r="I693" s="23" t="s">
        <v>27</v>
      </c>
      <c r="J693" s="19" t="s">
        <v>428</v>
      </c>
    </row>
    <row r="694" customFormat="false" ht="15" hidden="false" customHeight="false" outlineLevel="0" collapsed="false">
      <c r="A694" s="19" t="s">
        <v>249</v>
      </c>
      <c r="B694" s="19" t="s">
        <v>138</v>
      </c>
      <c r="C694" s="19" t="s">
        <v>446</v>
      </c>
      <c r="D694" s="19" t="s">
        <v>1010</v>
      </c>
      <c r="E694" s="22" t="n">
        <v>1607</v>
      </c>
      <c r="F694" s="19"/>
      <c r="G694" s="22" t="n">
        <v>0</v>
      </c>
      <c r="H694" s="19"/>
      <c r="I694" s="23" t="s">
        <v>27</v>
      </c>
      <c r="J694" s="19" t="s">
        <v>428</v>
      </c>
    </row>
    <row r="695" customFormat="false" ht="15" hidden="false" customHeight="false" outlineLevel="0" collapsed="false">
      <c r="A695" s="19" t="s">
        <v>249</v>
      </c>
      <c r="B695" s="19" t="s">
        <v>138</v>
      </c>
      <c r="C695" s="19" t="s">
        <v>446</v>
      </c>
      <c r="D695" s="19" t="s">
        <v>1011</v>
      </c>
      <c r="E695" s="22" t="n">
        <v>1232</v>
      </c>
      <c r="F695" s="19"/>
      <c r="G695" s="22" t="n">
        <v>0</v>
      </c>
      <c r="H695" s="19"/>
      <c r="I695" s="23" t="s">
        <v>27</v>
      </c>
      <c r="J695" s="19" t="s">
        <v>428</v>
      </c>
    </row>
    <row r="696" customFormat="false" ht="15" hidden="false" customHeight="false" outlineLevel="0" collapsed="false">
      <c r="A696" s="19" t="s">
        <v>249</v>
      </c>
      <c r="B696" s="19" t="s">
        <v>138</v>
      </c>
      <c r="C696" s="19" t="s">
        <v>446</v>
      </c>
      <c r="D696" s="19" t="s">
        <v>1012</v>
      </c>
      <c r="E696" s="22" t="n">
        <v>1232</v>
      </c>
      <c r="F696" s="19"/>
      <c r="G696" s="22" t="n">
        <v>0</v>
      </c>
      <c r="H696" s="19"/>
      <c r="I696" s="23" t="s">
        <v>27</v>
      </c>
      <c r="J696" s="19" t="s">
        <v>428</v>
      </c>
    </row>
    <row r="697" customFormat="false" ht="15" hidden="false" customHeight="false" outlineLevel="0" collapsed="false">
      <c r="A697" s="19" t="s">
        <v>249</v>
      </c>
      <c r="B697" s="19" t="s">
        <v>138</v>
      </c>
      <c r="C697" s="19" t="s">
        <v>446</v>
      </c>
      <c r="D697" s="19" t="s">
        <v>1013</v>
      </c>
      <c r="E697" s="22" t="n">
        <v>3009</v>
      </c>
      <c r="F697" s="19"/>
      <c r="G697" s="22" t="n">
        <v>0</v>
      </c>
      <c r="H697" s="19"/>
      <c r="I697" s="23" t="s">
        <v>27</v>
      </c>
      <c r="J697" s="19" t="s">
        <v>428</v>
      </c>
    </row>
    <row r="698" customFormat="false" ht="15" hidden="false" customHeight="false" outlineLevel="0" collapsed="false">
      <c r="A698" s="19" t="s">
        <v>249</v>
      </c>
      <c r="B698" s="19" t="s">
        <v>138</v>
      </c>
      <c r="C698" s="19" t="s">
        <v>446</v>
      </c>
      <c r="D698" s="19" t="s">
        <v>1014</v>
      </c>
      <c r="E698" s="22" t="n">
        <v>4563</v>
      </c>
      <c r="F698" s="19"/>
      <c r="G698" s="22" t="n">
        <v>0</v>
      </c>
      <c r="H698" s="19"/>
      <c r="I698" s="23" t="s">
        <v>27</v>
      </c>
      <c r="J698" s="19" t="s">
        <v>428</v>
      </c>
    </row>
    <row r="699" customFormat="false" ht="15" hidden="false" customHeight="false" outlineLevel="0" collapsed="false">
      <c r="A699" s="19" t="s">
        <v>249</v>
      </c>
      <c r="B699" s="19" t="s">
        <v>138</v>
      </c>
      <c r="C699" s="19" t="s">
        <v>367</v>
      </c>
      <c r="D699" s="19" t="s">
        <v>1015</v>
      </c>
      <c r="E699" s="22" t="n">
        <v>1045</v>
      </c>
      <c r="F699" s="19"/>
      <c r="G699" s="22" t="n">
        <v>0</v>
      </c>
      <c r="H699" s="19"/>
      <c r="I699" s="23" t="s">
        <v>27</v>
      </c>
      <c r="J699" s="19" t="s">
        <v>428</v>
      </c>
    </row>
    <row r="700" customFormat="false" ht="15" hidden="false" customHeight="false" outlineLevel="0" collapsed="false">
      <c r="A700" s="19" t="s">
        <v>249</v>
      </c>
      <c r="B700" s="19" t="s">
        <v>138</v>
      </c>
      <c r="C700" s="19" t="s">
        <v>446</v>
      </c>
      <c r="D700" s="19" t="s">
        <v>1016</v>
      </c>
      <c r="E700" s="22" t="n">
        <v>583</v>
      </c>
      <c r="F700" s="19"/>
      <c r="G700" s="22" t="n">
        <v>0</v>
      </c>
      <c r="H700" s="19"/>
      <c r="I700" s="23" t="s">
        <v>27</v>
      </c>
      <c r="J700" s="19" t="s">
        <v>428</v>
      </c>
    </row>
    <row r="701" customFormat="false" ht="15" hidden="false" customHeight="false" outlineLevel="0" collapsed="false">
      <c r="A701" s="19" t="s">
        <v>249</v>
      </c>
      <c r="B701" s="19" t="s">
        <v>138</v>
      </c>
      <c r="C701" s="19" t="s">
        <v>367</v>
      </c>
      <c r="D701" s="19" t="s">
        <v>1017</v>
      </c>
      <c r="E701" s="22" t="n">
        <v>5502</v>
      </c>
      <c r="F701" s="19"/>
      <c r="G701" s="22" t="n">
        <v>0</v>
      </c>
      <c r="H701" s="19"/>
      <c r="I701" s="23" t="s">
        <v>27</v>
      </c>
      <c r="J701" s="19" t="s">
        <v>428</v>
      </c>
    </row>
    <row r="702" customFormat="false" ht="15" hidden="false" customHeight="false" outlineLevel="0" collapsed="false">
      <c r="A702" s="19" t="s">
        <v>249</v>
      </c>
      <c r="B702" s="19" t="s">
        <v>138</v>
      </c>
      <c r="C702" s="19" t="s">
        <v>446</v>
      </c>
      <c r="D702" s="19" t="s">
        <v>1018</v>
      </c>
      <c r="E702" s="22" t="n">
        <v>583</v>
      </c>
      <c r="F702" s="19"/>
      <c r="G702" s="22" t="n">
        <v>0</v>
      </c>
      <c r="H702" s="19"/>
      <c r="I702" s="23" t="s">
        <v>27</v>
      </c>
      <c r="J702" s="19" t="s">
        <v>428</v>
      </c>
    </row>
    <row r="703" customFormat="false" ht="15" hidden="false" customHeight="false" outlineLevel="0" collapsed="false">
      <c r="A703" s="19" t="s">
        <v>249</v>
      </c>
      <c r="B703" s="19" t="s">
        <v>138</v>
      </c>
      <c r="C703" s="19" t="s">
        <v>446</v>
      </c>
      <c r="D703" s="19" t="s">
        <v>1019</v>
      </c>
      <c r="E703" s="22" t="n">
        <v>632</v>
      </c>
      <c r="F703" s="19"/>
      <c r="G703" s="22" t="n">
        <v>0</v>
      </c>
      <c r="H703" s="19"/>
      <c r="I703" s="23" t="s">
        <v>27</v>
      </c>
      <c r="J703" s="19" t="s">
        <v>428</v>
      </c>
    </row>
    <row r="704" customFormat="false" ht="15" hidden="false" customHeight="false" outlineLevel="0" collapsed="false">
      <c r="A704" s="19" t="s">
        <v>249</v>
      </c>
      <c r="B704" s="19" t="s">
        <v>138</v>
      </c>
      <c r="C704" s="19" t="s">
        <v>446</v>
      </c>
      <c r="D704" s="19" t="s">
        <v>1020</v>
      </c>
      <c r="E704" s="22" t="n">
        <v>572</v>
      </c>
      <c r="F704" s="19"/>
      <c r="G704" s="22" t="n">
        <v>0</v>
      </c>
      <c r="H704" s="19"/>
      <c r="I704" s="23" t="s">
        <v>27</v>
      </c>
      <c r="J704" s="19" t="s">
        <v>539</v>
      </c>
    </row>
    <row r="705" customFormat="false" ht="15" hidden="false" customHeight="false" outlineLevel="0" collapsed="false">
      <c r="A705" s="19" t="s">
        <v>249</v>
      </c>
      <c r="B705" s="19" t="s">
        <v>254</v>
      </c>
      <c r="C705" s="19" t="s">
        <v>365</v>
      </c>
      <c r="D705" s="19" t="s">
        <v>1021</v>
      </c>
      <c r="E705" s="22" t="n">
        <v>1195</v>
      </c>
      <c r="F705" s="19"/>
      <c r="G705" s="22" t="n">
        <v>0</v>
      </c>
      <c r="H705" s="19"/>
      <c r="I705" s="23" t="s">
        <v>27</v>
      </c>
      <c r="J705" s="19" t="s">
        <v>539</v>
      </c>
    </row>
    <row r="706" customFormat="false" ht="15" hidden="false" customHeight="false" outlineLevel="0" collapsed="false">
      <c r="A706" s="19" t="s">
        <v>249</v>
      </c>
      <c r="B706" s="19" t="s">
        <v>244</v>
      </c>
      <c r="C706" s="19" t="s">
        <v>365</v>
      </c>
      <c r="D706" s="19" t="s">
        <v>1022</v>
      </c>
      <c r="E706" s="22" t="n">
        <v>1810</v>
      </c>
      <c r="F706" s="19"/>
      <c r="G706" s="22" t="n">
        <v>0</v>
      </c>
      <c r="H706" s="19"/>
      <c r="I706" s="23" t="s">
        <v>27</v>
      </c>
      <c r="J706" s="19" t="s">
        <v>539</v>
      </c>
    </row>
    <row r="707" customFormat="false" ht="15" hidden="false" customHeight="false" outlineLevel="0" collapsed="false">
      <c r="A707" s="19" t="s">
        <v>249</v>
      </c>
      <c r="B707" s="19" t="s">
        <v>244</v>
      </c>
      <c r="C707" s="19" t="s">
        <v>365</v>
      </c>
      <c r="D707" s="19" t="s">
        <v>1023</v>
      </c>
      <c r="E707" s="22" t="n">
        <v>2827</v>
      </c>
      <c r="F707" s="19"/>
      <c r="G707" s="22" t="n">
        <v>0</v>
      </c>
      <c r="H707" s="19"/>
      <c r="I707" s="23" t="s">
        <v>27</v>
      </c>
      <c r="J707" s="19" t="s">
        <v>539</v>
      </c>
    </row>
    <row r="708" customFormat="false" ht="15" hidden="false" customHeight="false" outlineLevel="0" collapsed="false">
      <c r="A708" s="19" t="s">
        <v>249</v>
      </c>
      <c r="B708" s="19" t="s">
        <v>254</v>
      </c>
      <c r="C708" s="19" t="s">
        <v>365</v>
      </c>
      <c r="D708" s="19" t="s">
        <v>1024</v>
      </c>
      <c r="E708" s="22" t="n">
        <v>1010</v>
      </c>
      <c r="F708" s="19"/>
      <c r="G708" s="22" t="n">
        <v>0</v>
      </c>
      <c r="H708" s="19"/>
      <c r="I708" s="23" t="s">
        <v>27</v>
      </c>
      <c r="J708" s="19" t="s">
        <v>539</v>
      </c>
    </row>
    <row r="709" customFormat="false" ht="15" hidden="false" customHeight="false" outlineLevel="0" collapsed="false">
      <c r="A709" s="19" t="s">
        <v>249</v>
      </c>
      <c r="B709" s="19" t="s">
        <v>138</v>
      </c>
      <c r="C709" s="19" t="s">
        <v>446</v>
      </c>
      <c r="D709" s="19" t="s">
        <v>1025</v>
      </c>
      <c r="E709" s="22" t="n">
        <v>1677</v>
      </c>
      <c r="F709" s="19"/>
      <c r="G709" s="22" t="n">
        <v>0</v>
      </c>
      <c r="H709" s="19"/>
      <c r="I709" s="23" t="s">
        <v>27</v>
      </c>
      <c r="J709" s="19" t="s">
        <v>539</v>
      </c>
    </row>
    <row r="710" customFormat="false" ht="15" hidden="false" customHeight="false" outlineLevel="0" collapsed="false">
      <c r="A710" s="19" t="s">
        <v>249</v>
      </c>
      <c r="B710" s="19" t="s">
        <v>138</v>
      </c>
      <c r="C710" s="19" t="s">
        <v>367</v>
      </c>
      <c r="D710" s="19" t="s">
        <v>1026</v>
      </c>
      <c r="E710" s="22" t="n">
        <v>1260</v>
      </c>
      <c r="F710" s="19"/>
      <c r="G710" s="22" t="n">
        <v>0</v>
      </c>
      <c r="H710" s="19"/>
      <c r="I710" s="23" t="s">
        <v>27</v>
      </c>
      <c r="J710" s="19" t="s">
        <v>539</v>
      </c>
    </row>
    <row r="711" customFormat="false" ht="15" hidden="false" customHeight="false" outlineLevel="0" collapsed="false">
      <c r="A711" s="19" t="s">
        <v>249</v>
      </c>
      <c r="B711" s="19" t="s">
        <v>138</v>
      </c>
      <c r="C711" s="19" t="s">
        <v>446</v>
      </c>
      <c r="D711" s="19" t="s">
        <v>1027</v>
      </c>
      <c r="E711" s="22" t="n">
        <v>1607</v>
      </c>
      <c r="F711" s="19"/>
      <c r="G711" s="22" t="n">
        <v>0</v>
      </c>
      <c r="H711" s="19"/>
      <c r="I711" s="23" t="s">
        <v>27</v>
      </c>
      <c r="J711" s="19" t="s">
        <v>539</v>
      </c>
    </row>
    <row r="712" customFormat="false" ht="15" hidden="false" customHeight="false" outlineLevel="0" collapsed="false">
      <c r="A712" s="19" t="s">
        <v>249</v>
      </c>
      <c r="B712" s="19" t="s">
        <v>244</v>
      </c>
      <c r="C712" s="19" t="s">
        <v>365</v>
      </c>
      <c r="D712" s="19" t="s">
        <v>1022</v>
      </c>
      <c r="E712" s="22" t="n">
        <v>1864</v>
      </c>
      <c r="F712" s="19"/>
      <c r="G712" s="22" t="n">
        <v>0</v>
      </c>
      <c r="H712" s="19"/>
      <c r="I712" s="23" t="s">
        <v>27</v>
      </c>
      <c r="J712" s="19" t="s">
        <v>539</v>
      </c>
    </row>
    <row r="713" customFormat="false" ht="15" hidden="false" customHeight="false" outlineLevel="0" collapsed="false">
      <c r="A713" s="19" t="s">
        <v>249</v>
      </c>
      <c r="B713" s="19" t="s">
        <v>315</v>
      </c>
      <c r="C713" s="19" t="s">
        <v>316</v>
      </c>
      <c r="D713" s="19" t="s">
        <v>1028</v>
      </c>
      <c r="E713" s="22" t="n">
        <v>1799</v>
      </c>
      <c r="F713" s="19"/>
      <c r="G713" s="22" t="n">
        <v>0</v>
      </c>
      <c r="H713" s="19"/>
      <c r="I713" s="23" t="s">
        <v>27</v>
      </c>
      <c r="J713" s="19" t="s">
        <v>539</v>
      </c>
    </row>
    <row r="714" customFormat="false" ht="15" hidden="false" customHeight="false" outlineLevel="0" collapsed="false">
      <c r="A714" s="19" t="s">
        <v>249</v>
      </c>
      <c r="B714" s="19" t="s">
        <v>315</v>
      </c>
      <c r="C714" s="19" t="s">
        <v>316</v>
      </c>
      <c r="D714" s="19" t="s">
        <v>1029</v>
      </c>
      <c r="E714" s="22" t="n">
        <v>1907</v>
      </c>
      <c r="F714" s="19"/>
      <c r="G714" s="22" t="n">
        <v>0</v>
      </c>
      <c r="H714" s="19"/>
      <c r="I714" s="23" t="s">
        <v>27</v>
      </c>
      <c r="J714" s="19" t="s">
        <v>539</v>
      </c>
    </row>
    <row r="715" customFormat="false" ht="15" hidden="false" customHeight="false" outlineLevel="0" collapsed="false">
      <c r="A715" s="19" t="s">
        <v>249</v>
      </c>
      <c r="B715" s="19" t="s">
        <v>315</v>
      </c>
      <c r="C715" s="19" t="s">
        <v>316</v>
      </c>
      <c r="D715" s="19" t="s">
        <v>1030</v>
      </c>
      <c r="E715" s="22" t="n">
        <v>2439</v>
      </c>
      <c r="F715" s="19"/>
      <c r="G715" s="22" t="n">
        <v>0</v>
      </c>
      <c r="H715" s="19"/>
      <c r="I715" s="23" t="s">
        <v>27</v>
      </c>
      <c r="J715" s="19" t="s">
        <v>539</v>
      </c>
    </row>
    <row r="716" customFormat="false" ht="15" hidden="false" customHeight="false" outlineLevel="0" collapsed="false">
      <c r="A716" s="19" t="s">
        <v>249</v>
      </c>
      <c r="B716" s="19" t="s">
        <v>315</v>
      </c>
      <c r="C716" s="19" t="s">
        <v>316</v>
      </c>
      <c r="D716" s="19" t="s">
        <v>1031</v>
      </c>
      <c r="E716" s="22" t="n">
        <v>2074</v>
      </c>
      <c r="F716" s="19"/>
      <c r="G716" s="22" t="n">
        <v>0</v>
      </c>
      <c r="H716" s="19"/>
      <c r="I716" s="23" t="s">
        <v>27</v>
      </c>
      <c r="J716" s="19" t="s">
        <v>539</v>
      </c>
    </row>
    <row r="717" customFormat="false" ht="15" hidden="false" customHeight="false" outlineLevel="0" collapsed="false">
      <c r="A717" s="19" t="s">
        <v>249</v>
      </c>
      <c r="B717" s="19" t="s">
        <v>138</v>
      </c>
      <c r="C717" s="19" t="s">
        <v>446</v>
      </c>
      <c r="D717" s="19" t="s">
        <v>1032</v>
      </c>
      <c r="E717" s="22" t="n">
        <v>3193</v>
      </c>
      <c r="F717" s="19"/>
      <c r="G717" s="22" t="n">
        <v>0</v>
      </c>
      <c r="H717" s="19"/>
      <c r="I717" s="23" t="s">
        <v>27</v>
      </c>
      <c r="J717" s="19" t="s">
        <v>539</v>
      </c>
    </row>
    <row r="718" customFormat="false" ht="15" hidden="false" customHeight="false" outlineLevel="0" collapsed="false">
      <c r="A718" s="19" t="s">
        <v>249</v>
      </c>
      <c r="B718" s="19" t="s">
        <v>244</v>
      </c>
      <c r="C718" s="19" t="s">
        <v>365</v>
      </c>
      <c r="D718" s="19" t="s">
        <v>1033</v>
      </c>
      <c r="E718" s="22" t="n">
        <v>866</v>
      </c>
      <c r="F718" s="19"/>
      <c r="G718" s="22" t="n">
        <v>0</v>
      </c>
      <c r="H718" s="19"/>
      <c r="I718" s="23" t="s">
        <v>27</v>
      </c>
      <c r="J718" s="19" t="s">
        <v>539</v>
      </c>
    </row>
    <row r="719" customFormat="false" ht="15" hidden="false" customHeight="false" outlineLevel="0" collapsed="false">
      <c r="A719" s="19" t="s">
        <v>252</v>
      </c>
      <c r="B719" s="19" t="s">
        <v>138</v>
      </c>
      <c r="C719" s="19" t="s">
        <v>319</v>
      </c>
      <c r="D719" s="19" t="s">
        <v>1034</v>
      </c>
      <c r="E719" s="22" t="n">
        <v>605</v>
      </c>
      <c r="F719" s="19"/>
      <c r="G719" s="22" t="n">
        <v>0</v>
      </c>
      <c r="H719" s="19"/>
      <c r="I719" s="23" t="s">
        <v>27</v>
      </c>
      <c r="J719" s="19" t="s">
        <v>345</v>
      </c>
    </row>
    <row r="720" customFormat="false" ht="15" hidden="false" customHeight="false" outlineLevel="0" collapsed="false">
      <c r="A720" s="19" t="s">
        <v>252</v>
      </c>
      <c r="B720" s="19" t="s">
        <v>138</v>
      </c>
      <c r="C720" s="19" t="s">
        <v>319</v>
      </c>
      <c r="D720" s="19" t="s">
        <v>1035</v>
      </c>
      <c r="E720" s="22" t="n">
        <v>504</v>
      </c>
      <c r="F720" s="19"/>
      <c r="G720" s="22" t="n">
        <v>0</v>
      </c>
      <c r="H720" s="19"/>
      <c r="I720" s="23" t="s">
        <v>27</v>
      </c>
      <c r="J720" s="19" t="s">
        <v>345</v>
      </c>
    </row>
    <row r="721" customFormat="false" ht="15" hidden="false" customHeight="false" outlineLevel="0" collapsed="false">
      <c r="A721" s="19" t="s">
        <v>252</v>
      </c>
      <c r="B721" s="19" t="s">
        <v>138</v>
      </c>
      <c r="C721" s="19" t="s">
        <v>319</v>
      </c>
      <c r="D721" s="19" t="s">
        <v>1036</v>
      </c>
      <c r="E721" s="22" t="n">
        <v>370</v>
      </c>
      <c r="F721" s="19"/>
      <c r="G721" s="22" t="n">
        <v>0</v>
      </c>
      <c r="H721" s="19"/>
      <c r="I721" s="23" t="s">
        <v>27</v>
      </c>
      <c r="J721" s="19" t="s">
        <v>345</v>
      </c>
    </row>
    <row r="722" customFormat="false" ht="15" hidden="false" customHeight="false" outlineLevel="0" collapsed="false">
      <c r="A722" s="19" t="s">
        <v>252</v>
      </c>
      <c r="B722" s="19" t="s">
        <v>138</v>
      </c>
      <c r="C722" s="19" t="s">
        <v>319</v>
      </c>
      <c r="D722" s="19" t="s">
        <v>1037</v>
      </c>
      <c r="E722" s="22" t="n">
        <v>686</v>
      </c>
      <c r="F722" s="19"/>
      <c r="G722" s="22" t="n">
        <v>0</v>
      </c>
      <c r="H722" s="19"/>
      <c r="I722" s="23" t="s">
        <v>27</v>
      </c>
      <c r="J722" s="19" t="s">
        <v>345</v>
      </c>
    </row>
    <row r="723" customFormat="false" ht="15" hidden="false" customHeight="false" outlineLevel="0" collapsed="false">
      <c r="A723" s="19" t="s">
        <v>252</v>
      </c>
      <c r="B723" s="19" t="s">
        <v>138</v>
      </c>
      <c r="C723" s="19" t="s">
        <v>319</v>
      </c>
      <c r="D723" s="19" t="s">
        <v>1038</v>
      </c>
      <c r="E723" s="22" t="n">
        <v>379</v>
      </c>
      <c r="F723" s="19"/>
      <c r="G723" s="22" t="n">
        <v>0</v>
      </c>
      <c r="H723" s="19"/>
      <c r="I723" s="23" t="s">
        <v>27</v>
      </c>
      <c r="J723" s="19" t="s">
        <v>345</v>
      </c>
    </row>
    <row r="724" customFormat="false" ht="15" hidden="false" customHeight="false" outlineLevel="0" collapsed="false">
      <c r="A724" s="19" t="s">
        <v>252</v>
      </c>
      <c r="B724" s="19" t="s">
        <v>138</v>
      </c>
      <c r="C724" s="19" t="s">
        <v>319</v>
      </c>
      <c r="D724" s="19" t="s">
        <v>1039</v>
      </c>
      <c r="E724" s="22" t="n">
        <v>1659</v>
      </c>
      <c r="F724" s="19"/>
      <c r="G724" s="22" t="n">
        <v>0</v>
      </c>
      <c r="H724" s="19"/>
      <c r="I724" s="23" t="s">
        <v>27</v>
      </c>
      <c r="J724" s="19" t="s">
        <v>345</v>
      </c>
    </row>
    <row r="725" customFormat="false" ht="15" hidden="false" customHeight="false" outlineLevel="0" collapsed="false">
      <c r="A725" s="19" t="s">
        <v>252</v>
      </c>
      <c r="B725" s="19" t="s">
        <v>138</v>
      </c>
      <c r="C725" s="19" t="s">
        <v>319</v>
      </c>
      <c r="D725" s="19" t="s">
        <v>1040</v>
      </c>
      <c r="E725" s="22" t="n">
        <v>379</v>
      </c>
      <c r="F725" s="19"/>
      <c r="G725" s="22" t="n">
        <v>0</v>
      </c>
      <c r="H725" s="19"/>
      <c r="I725" s="23" t="s">
        <v>27</v>
      </c>
      <c r="J725" s="19" t="s">
        <v>345</v>
      </c>
    </row>
    <row r="726" customFormat="false" ht="15" hidden="false" customHeight="false" outlineLevel="0" collapsed="false">
      <c r="A726" s="19" t="s">
        <v>252</v>
      </c>
      <c r="B726" s="19" t="s">
        <v>138</v>
      </c>
      <c r="C726" s="19" t="s">
        <v>319</v>
      </c>
      <c r="D726" s="19" t="s">
        <v>1041</v>
      </c>
      <c r="E726" s="22" t="n">
        <v>529</v>
      </c>
      <c r="F726" s="19"/>
      <c r="G726" s="22" t="n">
        <v>0</v>
      </c>
      <c r="H726" s="19"/>
      <c r="I726" s="23" t="s">
        <v>27</v>
      </c>
      <c r="J726" s="19" t="s">
        <v>345</v>
      </c>
    </row>
    <row r="727" customFormat="false" ht="15" hidden="false" customHeight="false" outlineLevel="0" collapsed="false">
      <c r="A727" s="19" t="s">
        <v>252</v>
      </c>
      <c r="B727" s="19" t="s">
        <v>138</v>
      </c>
      <c r="C727" s="19" t="s">
        <v>319</v>
      </c>
      <c r="D727" s="19" t="s">
        <v>1042</v>
      </c>
      <c r="E727" s="22" t="n">
        <v>523</v>
      </c>
      <c r="F727" s="19"/>
      <c r="G727" s="22" t="n">
        <v>0</v>
      </c>
      <c r="H727" s="19"/>
      <c r="I727" s="23" t="s">
        <v>27</v>
      </c>
      <c r="J727" s="19" t="s">
        <v>345</v>
      </c>
    </row>
    <row r="728" customFormat="false" ht="15" hidden="false" customHeight="false" outlineLevel="0" collapsed="false">
      <c r="A728" s="19" t="s">
        <v>246</v>
      </c>
      <c r="B728" s="19" t="s">
        <v>138</v>
      </c>
      <c r="C728" s="19" t="s">
        <v>319</v>
      </c>
      <c r="D728" s="19" t="s">
        <v>1043</v>
      </c>
      <c r="E728" s="22" t="n">
        <v>557</v>
      </c>
      <c r="F728" s="19"/>
      <c r="G728" s="22" t="n">
        <v>0</v>
      </c>
      <c r="H728" s="19"/>
      <c r="I728" s="23" t="s">
        <v>27</v>
      </c>
      <c r="J728" s="19" t="s">
        <v>321</v>
      </c>
    </row>
    <row r="729" customFormat="false" ht="15" hidden="false" customHeight="false" outlineLevel="0" collapsed="false">
      <c r="A729" s="19" t="s">
        <v>246</v>
      </c>
      <c r="B729" s="19" t="s">
        <v>267</v>
      </c>
      <c r="C729" s="19" t="s">
        <v>365</v>
      </c>
      <c r="D729" s="19" t="s">
        <v>935</v>
      </c>
      <c r="E729" s="22" t="n">
        <v>453</v>
      </c>
      <c r="F729" s="19"/>
      <c r="G729" s="22" t="n">
        <v>0</v>
      </c>
      <c r="H729" s="19"/>
      <c r="I729" s="23" t="s">
        <v>27</v>
      </c>
      <c r="J729" s="19" t="s">
        <v>388</v>
      </c>
    </row>
    <row r="730" customFormat="false" ht="15" hidden="false" customHeight="false" outlineLevel="0" collapsed="false">
      <c r="A730" s="19" t="s">
        <v>246</v>
      </c>
      <c r="B730" s="19" t="s">
        <v>267</v>
      </c>
      <c r="C730" s="19" t="s">
        <v>365</v>
      </c>
      <c r="D730" s="19" t="s">
        <v>935</v>
      </c>
      <c r="E730" s="22" t="n">
        <v>819</v>
      </c>
      <c r="F730" s="19"/>
      <c r="G730" s="22" t="n">
        <v>0</v>
      </c>
      <c r="H730" s="19"/>
      <c r="I730" s="23" t="s">
        <v>27</v>
      </c>
      <c r="J730" s="19" t="s">
        <v>388</v>
      </c>
    </row>
    <row r="731" customFormat="false" ht="15" hidden="false" customHeight="false" outlineLevel="0" collapsed="false">
      <c r="A731" s="19" t="s">
        <v>246</v>
      </c>
      <c r="B731" s="19" t="s">
        <v>267</v>
      </c>
      <c r="C731" s="19" t="s">
        <v>365</v>
      </c>
      <c r="D731" s="19" t="s">
        <v>935</v>
      </c>
      <c r="E731" s="22" t="n">
        <v>610</v>
      </c>
      <c r="F731" s="19"/>
      <c r="G731" s="22" t="n">
        <v>0</v>
      </c>
      <c r="H731" s="19"/>
      <c r="I731" s="23" t="s">
        <v>27</v>
      </c>
      <c r="J731" s="19" t="s">
        <v>388</v>
      </c>
    </row>
    <row r="732" customFormat="false" ht="15" hidden="false" customHeight="false" outlineLevel="0" collapsed="false">
      <c r="A732" s="19" t="s">
        <v>246</v>
      </c>
      <c r="B732" s="19" t="s">
        <v>138</v>
      </c>
      <c r="C732" s="19" t="s">
        <v>446</v>
      </c>
      <c r="D732" s="19" t="s">
        <v>715</v>
      </c>
      <c r="E732" s="22" t="n">
        <v>468</v>
      </c>
      <c r="F732" s="19"/>
      <c r="G732" s="22" t="n">
        <v>0</v>
      </c>
      <c r="H732" s="19"/>
      <c r="I732" s="23" t="s">
        <v>27</v>
      </c>
      <c r="J732" s="19" t="s">
        <v>388</v>
      </c>
    </row>
    <row r="733" customFormat="false" ht="15" hidden="false" customHeight="false" outlineLevel="0" collapsed="false">
      <c r="A733" s="19" t="s">
        <v>246</v>
      </c>
      <c r="B733" s="19" t="s">
        <v>272</v>
      </c>
      <c r="C733" s="19" t="s">
        <v>365</v>
      </c>
      <c r="D733" s="19" t="s">
        <v>1044</v>
      </c>
      <c r="E733" s="22" t="n">
        <v>1964</v>
      </c>
      <c r="F733" s="19"/>
      <c r="G733" s="22" t="n">
        <v>0</v>
      </c>
      <c r="H733" s="19"/>
      <c r="I733" s="23" t="s">
        <v>27</v>
      </c>
      <c r="J733" s="19" t="s">
        <v>388</v>
      </c>
    </row>
    <row r="734" customFormat="false" ht="15" hidden="false" customHeight="false" outlineLevel="0" collapsed="false">
      <c r="A734" s="19" t="s">
        <v>246</v>
      </c>
      <c r="B734" s="19" t="s">
        <v>138</v>
      </c>
      <c r="C734" s="19" t="s">
        <v>367</v>
      </c>
      <c r="D734" s="19" t="s">
        <v>1045</v>
      </c>
      <c r="E734" s="22" t="n">
        <v>849</v>
      </c>
      <c r="F734" s="19"/>
      <c r="G734" s="22" t="n">
        <v>0</v>
      </c>
      <c r="H734" s="19"/>
      <c r="I734" s="23" t="s">
        <v>27</v>
      </c>
      <c r="J734" s="19" t="s">
        <v>388</v>
      </c>
    </row>
    <row r="735" customFormat="false" ht="15" hidden="false" customHeight="false" outlineLevel="0" collapsed="false">
      <c r="A735" s="19" t="s">
        <v>249</v>
      </c>
      <c r="B735" s="19" t="s">
        <v>138</v>
      </c>
      <c r="C735" s="19" t="s">
        <v>319</v>
      </c>
      <c r="D735" s="19" t="s">
        <v>1046</v>
      </c>
      <c r="E735" s="22" t="n">
        <v>1218</v>
      </c>
      <c r="F735" s="19"/>
      <c r="G735" s="22" t="n">
        <v>0</v>
      </c>
      <c r="H735" s="19"/>
      <c r="I735" s="23" t="s">
        <v>27</v>
      </c>
      <c r="J735" s="19" t="s">
        <v>330</v>
      </c>
    </row>
    <row r="736" customFormat="false" ht="15" hidden="false" customHeight="false" outlineLevel="0" collapsed="false">
      <c r="A736" s="19" t="s">
        <v>249</v>
      </c>
      <c r="B736" s="19" t="s">
        <v>138</v>
      </c>
      <c r="C736" s="19" t="s">
        <v>319</v>
      </c>
      <c r="D736" s="19" t="s">
        <v>1047</v>
      </c>
      <c r="E736" s="22" t="n">
        <v>937</v>
      </c>
      <c r="F736" s="19"/>
      <c r="G736" s="22" t="n">
        <v>0</v>
      </c>
      <c r="H736" s="19"/>
      <c r="I736" s="23" t="s">
        <v>27</v>
      </c>
      <c r="J736" s="19" t="s">
        <v>330</v>
      </c>
    </row>
    <row r="737" customFormat="false" ht="15" hidden="false" customHeight="false" outlineLevel="0" collapsed="false">
      <c r="A737" s="19" t="s">
        <v>249</v>
      </c>
      <c r="B737" s="19" t="s">
        <v>138</v>
      </c>
      <c r="C737" s="19" t="s">
        <v>319</v>
      </c>
      <c r="D737" s="19" t="s">
        <v>1048</v>
      </c>
      <c r="E737" s="22" t="n">
        <v>1814</v>
      </c>
      <c r="F737" s="19"/>
      <c r="G737" s="22" t="n">
        <v>0</v>
      </c>
      <c r="H737" s="19"/>
      <c r="I737" s="23" t="s">
        <v>27</v>
      </c>
      <c r="J737" s="19" t="s">
        <v>330</v>
      </c>
    </row>
    <row r="738" customFormat="false" ht="15" hidden="false" customHeight="false" outlineLevel="0" collapsed="false">
      <c r="A738" s="19" t="s">
        <v>249</v>
      </c>
      <c r="B738" s="19" t="s">
        <v>138</v>
      </c>
      <c r="C738" s="19" t="s">
        <v>319</v>
      </c>
      <c r="D738" s="19" t="s">
        <v>1049</v>
      </c>
      <c r="E738" s="22" t="n">
        <v>1478</v>
      </c>
      <c r="F738" s="19"/>
      <c r="G738" s="22" t="n">
        <v>0</v>
      </c>
      <c r="H738" s="19"/>
      <c r="I738" s="23" t="s">
        <v>27</v>
      </c>
      <c r="J738" s="19" t="s">
        <v>330</v>
      </c>
    </row>
    <row r="739" customFormat="false" ht="15" hidden="false" customHeight="false" outlineLevel="0" collapsed="false">
      <c r="A739" s="19" t="s">
        <v>249</v>
      </c>
      <c r="B739" s="19" t="s">
        <v>138</v>
      </c>
      <c r="C739" s="19" t="s">
        <v>319</v>
      </c>
      <c r="D739" s="19" t="s">
        <v>1050</v>
      </c>
      <c r="E739" s="22" t="n">
        <v>886</v>
      </c>
      <c r="F739" s="19"/>
      <c r="G739" s="22" t="n">
        <v>0</v>
      </c>
      <c r="H739" s="19"/>
      <c r="I739" s="23" t="s">
        <v>27</v>
      </c>
      <c r="J739" s="19" t="s">
        <v>330</v>
      </c>
    </row>
    <row r="740" customFormat="false" ht="15" hidden="false" customHeight="false" outlineLevel="0" collapsed="false">
      <c r="A740" s="19" t="s">
        <v>249</v>
      </c>
      <c r="B740" s="19" t="s">
        <v>138</v>
      </c>
      <c r="C740" s="19" t="s">
        <v>319</v>
      </c>
      <c r="D740" s="19" t="s">
        <v>1051</v>
      </c>
      <c r="E740" s="22" t="n">
        <v>1394</v>
      </c>
      <c r="F740" s="19"/>
      <c r="G740" s="22" t="n">
        <v>0</v>
      </c>
      <c r="H740" s="19"/>
      <c r="I740" s="23" t="s">
        <v>27</v>
      </c>
      <c r="J740" s="19" t="s">
        <v>330</v>
      </c>
    </row>
    <row r="741" customFormat="false" ht="15" hidden="false" customHeight="false" outlineLevel="0" collapsed="false">
      <c r="A741" s="19" t="s">
        <v>249</v>
      </c>
      <c r="B741" s="19" t="s">
        <v>138</v>
      </c>
      <c r="C741" s="19" t="s">
        <v>319</v>
      </c>
      <c r="D741" s="19" t="s">
        <v>1052</v>
      </c>
      <c r="E741" s="22" t="n">
        <v>1558</v>
      </c>
      <c r="F741" s="19"/>
      <c r="G741" s="22" t="n">
        <v>0</v>
      </c>
      <c r="H741" s="19"/>
      <c r="I741" s="23" t="s">
        <v>27</v>
      </c>
      <c r="J741" s="19" t="s">
        <v>330</v>
      </c>
    </row>
    <row r="742" customFormat="false" ht="15" hidden="false" customHeight="false" outlineLevel="0" collapsed="false">
      <c r="A742" s="19" t="s">
        <v>249</v>
      </c>
      <c r="B742" s="19" t="s">
        <v>138</v>
      </c>
      <c r="C742" s="19" t="s">
        <v>319</v>
      </c>
      <c r="D742" s="19" t="s">
        <v>1053</v>
      </c>
      <c r="E742" s="22" t="n">
        <v>3056</v>
      </c>
      <c r="F742" s="19"/>
      <c r="G742" s="22" t="n">
        <v>0</v>
      </c>
      <c r="H742" s="19"/>
      <c r="I742" s="23" t="s">
        <v>27</v>
      </c>
      <c r="J742" s="19" t="s">
        <v>330</v>
      </c>
    </row>
    <row r="743" customFormat="false" ht="15" hidden="false" customHeight="false" outlineLevel="0" collapsed="false">
      <c r="A743" s="19" t="s">
        <v>249</v>
      </c>
      <c r="B743" s="19" t="s">
        <v>138</v>
      </c>
      <c r="C743" s="19" t="s">
        <v>319</v>
      </c>
      <c r="D743" s="19" t="s">
        <v>1054</v>
      </c>
      <c r="E743" s="22" t="n">
        <v>1936</v>
      </c>
      <c r="F743" s="19"/>
      <c r="G743" s="22" t="n">
        <v>0</v>
      </c>
      <c r="H743" s="19"/>
      <c r="I743" s="23" t="s">
        <v>27</v>
      </c>
      <c r="J743" s="19" t="s">
        <v>330</v>
      </c>
    </row>
  </sheetData>
  <autoFilter ref="A4:J743"/>
  <hyperlinks>
    <hyperlink ref="I5" r:id="rId1" display="открыть"/>
    <hyperlink ref="I6" r:id="rId2" display="открыть"/>
    <hyperlink ref="I7" r:id="rId3" display="открыть"/>
    <hyperlink ref="I8" r:id="rId4" display="открыть"/>
    <hyperlink ref="I9" r:id="rId5" display="открыть"/>
    <hyperlink ref="I10" r:id="rId6" display="открыть"/>
    <hyperlink ref="I11" r:id="rId7" display="открыть"/>
    <hyperlink ref="I12" r:id="rId8" display="открыть"/>
    <hyperlink ref="I13" r:id="rId9" display="открыть"/>
    <hyperlink ref="I14" r:id="rId10" display="открыть"/>
    <hyperlink ref="I15" r:id="rId11" display="открыть"/>
    <hyperlink ref="I16" r:id="rId12" display="открыть"/>
    <hyperlink ref="I17" r:id="rId13" display="открыть"/>
    <hyperlink ref="I18" r:id="rId14" display="открыть"/>
    <hyperlink ref="I19" r:id="rId15" display="открыть"/>
    <hyperlink ref="I20" r:id="rId16" display="открыть"/>
    <hyperlink ref="I21" r:id="rId17" display="открыть"/>
    <hyperlink ref="I22" r:id="rId18" display="открыть"/>
    <hyperlink ref="I23" r:id="rId19" display="открыть"/>
    <hyperlink ref="I24" r:id="rId20" display="открыть"/>
    <hyperlink ref="I25" r:id="rId21" display="открыть"/>
    <hyperlink ref="I26" r:id="rId22" display="открыть"/>
    <hyperlink ref="I27" r:id="rId23" display="открыть"/>
    <hyperlink ref="I28" r:id="rId24" display="открыть"/>
    <hyperlink ref="I29" r:id="rId25" display="открыть"/>
    <hyperlink ref="I30" r:id="rId26" display="открыть"/>
    <hyperlink ref="I31" r:id="rId27" display="открыть"/>
    <hyperlink ref="I32" r:id="rId28" display="открыть"/>
    <hyperlink ref="I33" r:id="rId29" display="открыть"/>
    <hyperlink ref="I34" r:id="rId30" display="открыть"/>
    <hyperlink ref="I35" r:id="rId31" display="открыть"/>
    <hyperlink ref="I36" r:id="rId32" display="открыть"/>
    <hyperlink ref="I37" r:id="rId33" display="открыть"/>
    <hyperlink ref="I38" r:id="rId34" display="открыть"/>
    <hyperlink ref="I39" r:id="rId35" display="открыть"/>
    <hyperlink ref="I40" r:id="rId36" display="открыть"/>
    <hyperlink ref="I41" r:id="rId37" display="открыть"/>
    <hyperlink ref="I42" r:id="rId38" display="открыть"/>
    <hyperlink ref="I43" r:id="rId39" display="открыть"/>
    <hyperlink ref="I44" r:id="rId40" display="открыть"/>
    <hyperlink ref="I45" r:id="rId41" display="открыть"/>
    <hyperlink ref="I46" r:id="rId42" display="открыть"/>
    <hyperlink ref="I47" r:id="rId43" display="открыть"/>
    <hyperlink ref="I48" r:id="rId44" display="открыть"/>
    <hyperlink ref="I49" r:id="rId45" display="открыть"/>
    <hyperlink ref="I50" r:id="rId46" display="открыть"/>
    <hyperlink ref="I51" r:id="rId47" display="открыть"/>
    <hyperlink ref="I52" r:id="rId48" display="открыть"/>
    <hyperlink ref="I53" r:id="rId49" display="открыть"/>
    <hyperlink ref="I54" r:id="rId50" display="открыть"/>
    <hyperlink ref="I55" r:id="rId51" display="открыть"/>
    <hyperlink ref="I56" r:id="rId52" display="открыть"/>
    <hyperlink ref="I57" r:id="rId53" display="открыть"/>
    <hyperlink ref="I58" r:id="rId54" display="открыть"/>
    <hyperlink ref="I59" r:id="rId55" display="открыть"/>
    <hyperlink ref="I60" r:id="rId56" display="открыть"/>
    <hyperlink ref="I61" r:id="rId57" display="открыть"/>
    <hyperlink ref="I62" r:id="rId58" display="открыть"/>
    <hyperlink ref="I63" r:id="rId59" display="открыть"/>
    <hyperlink ref="I64" r:id="rId60" display="открыть"/>
    <hyperlink ref="I65" r:id="rId61" display="открыть"/>
    <hyperlink ref="I66" r:id="rId62" display="открыть"/>
    <hyperlink ref="I67" r:id="rId63" display="открыть"/>
    <hyperlink ref="I68" r:id="rId64" display="открыть"/>
    <hyperlink ref="I69" r:id="rId65" display="открыть"/>
    <hyperlink ref="I70" r:id="rId66" display="открыть"/>
    <hyperlink ref="I71" r:id="rId67" display="открыть"/>
    <hyperlink ref="I72" r:id="rId68" display="открыть"/>
    <hyperlink ref="I73" r:id="rId69" display="открыть"/>
    <hyperlink ref="I74" r:id="rId70" display="открыть"/>
    <hyperlink ref="I75" r:id="rId71" display="открыть"/>
    <hyperlink ref="I76" r:id="rId72" display="открыть"/>
    <hyperlink ref="I77" r:id="rId73" display="открыть"/>
    <hyperlink ref="I78" r:id="rId74" display="открыть"/>
    <hyperlink ref="I79" r:id="rId75" display="открыть"/>
    <hyperlink ref="I80" r:id="rId76" display="открыть"/>
    <hyperlink ref="I81" r:id="rId77" display="открыть"/>
    <hyperlink ref="I82" r:id="rId78" display="открыть"/>
    <hyperlink ref="I83" r:id="rId79" display="открыть"/>
    <hyperlink ref="I84" r:id="rId80" display="открыть"/>
    <hyperlink ref="I85" r:id="rId81" display="открыть"/>
    <hyperlink ref="I86" r:id="rId82" display="открыть"/>
    <hyperlink ref="I87" r:id="rId83" display="открыть"/>
    <hyperlink ref="I88" r:id="rId84" display="открыть"/>
    <hyperlink ref="I89" r:id="rId85" display="открыть"/>
    <hyperlink ref="I90" r:id="rId86" display="открыть"/>
    <hyperlink ref="I91" r:id="rId87" display="открыть"/>
    <hyperlink ref="I92" r:id="rId88" display="открыть"/>
    <hyperlink ref="I93" r:id="rId89" display="открыть"/>
    <hyperlink ref="I94" r:id="rId90" display="открыть"/>
    <hyperlink ref="I95" r:id="rId91" display="открыть"/>
    <hyperlink ref="I96" r:id="rId92" display="открыть"/>
    <hyperlink ref="I97" r:id="rId93" display="открыть"/>
    <hyperlink ref="I98" r:id="rId94" display="открыть"/>
    <hyperlink ref="I99" r:id="rId95" display="открыть"/>
    <hyperlink ref="I100" r:id="rId96" display="открыть"/>
    <hyperlink ref="I101" r:id="rId97" display="открыть"/>
    <hyperlink ref="I102" r:id="rId98" display="открыть"/>
    <hyperlink ref="I103" r:id="rId99" display="открыть"/>
    <hyperlink ref="I104" r:id="rId100" display="открыть"/>
    <hyperlink ref="I105" r:id="rId101" display="открыть"/>
    <hyperlink ref="I106" r:id="rId102" display="открыть"/>
    <hyperlink ref="I107" r:id="rId103" display="открыть"/>
    <hyperlink ref="I108" r:id="rId104" display="открыть"/>
    <hyperlink ref="I109" r:id="rId105" display="открыть"/>
    <hyperlink ref="I110" r:id="rId106" display="открыть"/>
    <hyperlink ref="I111" r:id="rId107" display="открыть"/>
    <hyperlink ref="I112" r:id="rId108" display="открыть"/>
    <hyperlink ref="I113" r:id="rId109" display="открыть"/>
    <hyperlink ref="I114" r:id="rId110" display="открыть"/>
    <hyperlink ref="I115" r:id="rId111" display="открыть"/>
    <hyperlink ref="I116" r:id="rId112" display="открыть"/>
    <hyperlink ref="I117" r:id="rId113" display="открыть"/>
    <hyperlink ref="I118" r:id="rId114" display="открыть"/>
    <hyperlink ref="I119" r:id="rId115" display="открыть"/>
    <hyperlink ref="I120" r:id="rId116" display="открыть"/>
    <hyperlink ref="I121" r:id="rId117" display="открыть"/>
    <hyperlink ref="I122" r:id="rId118" display="открыть"/>
    <hyperlink ref="I123" r:id="rId119" display="открыть"/>
    <hyperlink ref="I124" r:id="rId120" display="открыть"/>
    <hyperlink ref="I125" r:id="rId121" display="открыть"/>
    <hyperlink ref="I126" r:id="rId122" display="открыть"/>
    <hyperlink ref="I127" r:id="rId123" display="открыть"/>
    <hyperlink ref="I128" r:id="rId124" display="открыть"/>
    <hyperlink ref="I129" r:id="rId125" display="открыть"/>
    <hyperlink ref="I130" r:id="rId126" display="открыть"/>
    <hyperlink ref="I131" r:id="rId127" display="открыть"/>
    <hyperlink ref="I132" r:id="rId128" display="открыть"/>
    <hyperlink ref="I133" r:id="rId129" display="открыть"/>
    <hyperlink ref="I134" r:id="rId130" display="открыть"/>
    <hyperlink ref="I135" r:id="rId131" display="открыть"/>
    <hyperlink ref="I136" r:id="rId132" display="открыть"/>
    <hyperlink ref="I137" r:id="rId133" display="открыть"/>
    <hyperlink ref="I138" r:id="rId134" display="открыть"/>
    <hyperlink ref="I139" r:id="rId135" display="открыть"/>
    <hyperlink ref="I140" r:id="rId136" display="открыть"/>
    <hyperlink ref="I141" r:id="rId137" display="открыть"/>
    <hyperlink ref="I142" r:id="rId138" display="открыть"/>
    <hyperlink ref="I143" r:id="rId139" display="открыть"/>
    <hyperlink ref="I144" r:id="rId140" display="открыть"/>
    <hyperlink ref="I145" r:id="rId141" display="открыть"/>
    <hyperlink ref="I146" r:id="rId142" display="открыть"/>
    <hyperlink ref="I147" r:id="rId143" display="открыть"/>
    <hyperlink ref="I148" r:id="rId144" display="открыть"/>
    <hyperlink ref="I149" r:id="rId145" display="открыть"/>
    <hyperlink ref="I150" r:id="rId146" display="открыть"/>
    <hyperlink ref="I151" r:id="rId147" display="открыть"/>
    <hyperlink ref="I152" r:id="rId148" display="открыть"/>
    <hyperlink ref="I153" r:id="rId149" display="открыть"/>
    <hyperlink ref="I154" r:id="rId150" display="открыть"/>
    <hyperlink ref="I155" r:id="rId151" display="открыть"/>
    <hyperlink ref="I156" r:id="rId152" display="открыть"/>
    <hyperlink ref="I157" r:id="rId153" display="открыть"/>
    <hyperlink ref="I158" r:id="rId154" display="открыть"/>
    <hyperlink ref="I159" r:id="rId155" display="открыть"/>
    <hyperlink ref="I160" r:id="rId156" display="открыть"/>
    <hyperlink ref="I161" r:id="rId157" display="открыть"/>
    <hyperlink ref="I162" r:id="rId158" display="открыть"/>
    <hyperlink ref="I163" r:id="rId159" display="открыть"/>
    <hyperlink ref="I164" r:id="rId160" display="открыть"/>
    <hyperlink ref="I165" r:id="rId161" display="открыть"/>
    <hyperlink ref="I166" r:id="rId162" display="открыть"/>
    <hyperlink ref="I167" r:id="rId163" display="открыть"/>
    <hyperlink ref="I168" r:id="rId164" display="открыть"/>
    <hyperlink ref="I169" r:id="rId165" display="открыть"/>
    <hyperlink ref="I170" r:id="rId166" display="открыть"/>
    <hyperlink ref="I171" r:id="rId167" display="открыть"/>
    <hyperlink ref="I172" r:id="rId168" display="открыть"/>
    <hyperlink ref="I173" r:id="rId169" display="открыть"/>
    <hyperlink ref="I174" r:id="rId170" display="открыть"/>
    <hyperlink ref="I175" r:id="rId171" display="открыть"/>
    <hyperlink ref="I176" r:id="rId172" display="открыть"/>
    <hyperlink ref="I177" r:id="rId173" display="открыть"/>
    <hyperlink ref="I178" r:id="rId174" display="открыть"/>
    <hyperlink ref="I179" r:id="rId175" display="открыть"/>
    <hyperlink ref="I180" r:id="rId176" display="открыть"/>
    <hyperlink ref="I181" r:id="rId177" display="открыть"/>
    <hyperlink ref="I182" r:id="rId178" display="открыть"/>
    <hyperlink ref="I183" r:id="rId179" display="открыть"/>
    <hyperlink ref="I184" r:id="rId180" display="открыть"/>
    <hyperlink ref="I185" r:id="rId181" display="открыть"/>
    <hyperlink ref="I186" r:id="rId182" display="открыть"/>
    <hyperlink ref="I187" r:id="rId183" display="открыть"/>
    <hyperlink ref="I188" r:id="rId184" display="открыть"/>
    <hyperlink ref="I189" r:id="rId185" display="открыть"/>
    <hyperlink ref="I190" r:id="rId186" display="открыть"/>
    <hyperlink ref="I191" r:id="rId187" display="открыть"/>
    <hyperlink ref="I192" r:id="rId188" display="открыть"/>
    <hyperlink ref="I193" r:id="rId189" display="открыть"/>
    <hyperlink ref="I194" r:id="rId190" display="открыть"/>
    <hyperlink ref="I195" r:id="rId191" display="открыть"/>
    <hyperlink ref="I196" r:id="rId192" display="открыть"/>
    <hyperlink ref="I197" r:id="rId193" display="открыть"/>
    <hyperlink ref="I198" r:id="rId194" display="открыть"/>
    <hyperlink ref="I199" r:id="rId195" display="открыть"/>
    <hyperlink ref="I200" r:id="rId196" display="открыть"/>
    <hyperlink ref="I201" r:id="rId197" display="открыть"/>
    <hyperlink ref="I202" r:id="rId198" display="открыть"/>
    <hyperlink ref="I203" r:id="rId199" display="открыть"/>
    <hyperlink ref="I204" r:id="rId200" display="открыть"/>
    <hyperlink ref="I205" r:id="rId201" display="открыть"/>
    <hyperlink ref="I206" r:id="rId202" display="открыть"/>
    <hyperlink ref="I207" r:id="rId203" display="открыть"/>
    <hyperlink ref="I208" r:id="rId204" display="открыть"/>
    <hyperlink ref="I209" r:id="rId205" display="открыть"/>
    <hyperlink ref="I210" r:id="rId206" display="открыть"/>
    <hyperlink ref="I211" r:id="rId207" display="открыть"/>
    <hyperlink ref="I212" r:id="rId208" display="открыть"/>
    <hyperlink ref="I213" r:id="rId209" display="открыть"/>
    <hyperlink ref="I214" r:id="rId210" display="открыть"/>
    <hyperlink ref="I215" r:id="rId211" display="открыть"/>
    <hyperlink ref="I216" r:id="rId212" display="открыть"/>
    <hyperlink ref="I217" r:id="rId213" display="открыть"/>
    <hyperlink ref="I218" r:id="rId214" display="открыть"/>
    <hyperlink ref="I219" r:id="rId215" display="открыть"/>
    <hyperlink ref="I220" r:id="rId216" display="открыть"/>
    <hyperlink ref="I221" r:id="rId217" display="открыть"/>
    <hyperlink ref="I222" r:id="rId218" display="открыть"/>
    <hyperlink ref="I223" r:id="rId219" display="открыть"/>
    <hyperlink ref="I224" r:id="rId220" display="открыть"/>
    <hyperlink ref="I225" r:id="rId221" display="открыть"/>
    <hyperlink ref="I226" r:id="rId222" display="открыть"/>
    <hyperlink ref="I227" r:id="rId223" display="открыть"/>
    <hyperlink ref="I228" r:id="rId224" display="открыть"/>
    <hyperlink ref="I229" r:id="rId225" display="открыть"/>
    <hyperlink ref="I230" r:id="rId226" display="открыть"/>
    <hyperlink ref="I231" r:id="rId227" display="открыть"/>
    <hyperlink ref="I232" r:id="rId228" display="открыть"/>
    <hyperlink ref="I233" r:id="rId229" display="открыть"/>
    <hyperlink ref="I234" r:id="rId230" display="открыть"/>
    <hyperlink ref="I235" r:id="rId231" display="открыть"/>
    <hyperlink ref="I236" r:id="rId232" display="открыть"/>
    <hyperlink ref="I237" r:id="rId233" display="открыть"/>
    <hyperlink ref="I238" r:id="rId234" display="открыть"/>
    <hyperlink ref="I239" r:id="rId235" display="открыть"/>
    <hyperlink ref="I240" r:id="rId236" display="открыть"/>
    <hyperlink ref="I241" r:id="rId237" display="открыть"/>
    <hyperlink ref="I242" r:id="rId238" display="открыть"/>
    <hyperlink ref="I243" r:id="rId239" display="открыть"/>
    <hyperlink ref="I244" r:id="rId240" display="открыть"/>
    <hyperlink ref="I245" r:id="rId241" display="открыть"/>
    <hyperlink ref="I246" r:id="rId242" display="открыть"/>
    <hyperlink ref="I247" r:id="rId243" display="открыть"/>
    <hyperlink ref="I248" r:id="rId244" display="открыть"/>
    <hyperlink ref="I249" r:id="rId245" display="открыть"/>
    <hyperlink ref="I250" r:id="rId246" display="открыть"/>
    <hyperlink ref="I251" r:id="rId247" display="открыть"/>
    <hyperlink ref="I252" r:id="rId248" display="открыть"/>
    <hyperlink ref="I253" r:id="rId249" display="открыть"/>
    <hyperlink ref="I254" r:id="rId250" display="открыть"/>
    <hyperlink ref="I255" r:id="rId251" display="открыть"/>
    <hyperlink ref="I256" r:id="rId252" display="открыть"/>
    <hyperlink ref="I257" r:id="rId253" display="открыть"/>
    <hyperlink ref="I258" r:id="rId254" display="открыть"/>
    <hyperlink ref="I259" r:id="rId255" display="открыть"/>
    <hyperlink ref="I260" r:id="rId256" display="открыть"/>
    <hyperlink ref="I261" r:id="rId257" display="открыть"/>
    <hyperlink ref="I262" r:id="rId258" display="открыть"/>
    <hyperlink ref="I263" r:id="rId259" display="открыть"/>
    <hyperlink ref="I264" r:id="rId260" display="открыть"/>
    <hyperlink ref="I265" r:id="rId261" display="открыть"/>
    <hyperlink ref="I266" r:id="rId262" display="открыть"/>
    <hyperlink ref="I267" r:id="rId263" display="открыть"/>
    <hyperlink ref="I268" r:id="rId264" display="открыть"/>
    <hyperlink ref="I269" r:id="rId265" display="открыть"/>
    <hyperlink ref="I270" r:id="rId266" display="открыть"/>
    <hyperlink ref="I271" r:id="rId267" display="открыть"/>
    <hyperlink ref="I272" r:id="rId268" display="открыть"/>
    <hyperlink ref="I273" r:id="rId269" display="открыть"/>
    <hyperlink ref="I274" r:id="rId270" display="открыть"/>
    <hyperlink ref="I275" r:id="rId271" display="открыть"/>
    <hyperlink ref="I276" r:id="rId272" display="открыть"/>
    <hyperlink ref="I277" r:id="rId273" display="открыть"/>
    <hyperlink ref="I278" r:id="rId274" display="открыть"/>
    <hyperlink ref="I279" r:id="rId275" display="открыть"/>
    <hyperlink ref="I280" r:id="rId276" display="открыть"/>
    <hyperlink ref="I281" r:id="rId277" display="открыть"/>
    <hyperlink ref="I282" r:id="rId278" display="открыть"/>
    <hyperlink ref="I283" r:id="rId279" display="открыть"/>
    <hyperlink ref="I284" r:id="rId280" display="открыть"/>
    <hyperlink ref="I285" r:id="rId281" display="открыть"/>
    <hyperlink ref="I286" r:id="rId282" display="открыть"/>
    <hyperlink ref="I287" r:id="rId283" display="открыть"/>
    <hyperlink ref="I288" r:id="rId284" display="открыть"/>
    <hyperlink ref="I289" r:id="rId285" display="открыть"/>
    <hyperlink ref="I290" r:id="rId286" display="открыть"/>
    <hyperlink ref="I291" r:id="rId287" display="открыть"/>
    <hyperlink ref="I292" r:id="rId288" display="открыть"/>
    <hyperlink ref="I293" r:id="rId289" display="открыть"/>
    <hyperlink ref="I294" r:id="rId290" display="открыть"/>
    <hyperlink ref="I295" r:id="rId291" display="открыть"/>
    <hyperlink ref="I296" r:id="rId292" display="открыть"/>
    <hyperlink ref="I297" r:id="rId293" display="открыть"/>
    <hyperlink ref="I298" r:id="rId294" display="открыть"/>
    <hyperlink ref="I299" r:id="rId295" display="открыть"/>
    <hyperlink ref="I300" r:id="rId296" display="открыть"/>
    <hyperlink ref="I301" r:id="rId297" display="открыть"/>
    <hyperlink ref="I302" r:id="rId298" display="открыть"/>
    <hyperlink ref="I303" r:id="rId299" display="открыть"/>
    <hyperlink ref="I304" r:id="rId300" display="открыть"/>
    <hyperlink ref="I305" r:id="rId301" display="открыть"/>
    <hyperlink ref="I306" r:id="rId302" display="открыть"/>
    <hyperlink ref="I307" r:id="rId303" display="открыть"/>
    <hyperlink ref="I308" r:id="rId304" display="открыть"/>
    <hyperlink ref="I309" r:id="rId305" display="открыть"/>
    <hyperlink ref="I310" r:id="rId306" display="открыть"/>
    <hyperlink ref="I311" r:id="rId307" display="открыть"/>
    <hyperlink ref="I312" r:id="rId308" display="открыть"/>
    <hyperlink ref="I313" r:id="rId309" display="открыть"/>
    <hyperlink ref="I314" r:id="rId310" display="открыть"/>
    <hyperlink ref="I315" r:id="rId311" display="открыть"/>
    <hyperlink ref="I316" r:id="rId312" display="открыть"/>
    <hyperlink ref="I317" r:id="rId313" display="открыть"/>
    <hyperlink ref="I318" r:id="rId314" display="открыть"/>
    <hyperlink ref="I319" r:id="rId315" display="открыть"/>
    <hyperlink ref="I320" r:id="rId316" display="открыть"/>
    <hyperlink ref="I321" r:id="rId317" display="открыть"/>
    <hyperlink ref="I322" r:id="rId318" display="открыть"/>
    <hyperlink ref="I323" r:id="rId319" display="открыть"/>
    <hyperlink ref="I324" r:id="rId320" display="открыть"/>
    <hyperlink ref="I325" r:id="rId321" display="открыть"/>
    <hyperlink ref="I326" r:id="rId322" display="открыть"/>
    <hyperlink ref="I327" r:id="rId323" display="открыть"/>
    <hyperlink ref="I328" r:id="rId324" display="открыть"/>
    <hyperlink ref="I329" r:id="rId325" display="открыть"/>
    <hyperlink ref="I330" r:id="rId326" display="открыть"/>
    <hyperlink ref="I331" r:id="rId327" display="открыть"/>
    <hyperlink ref="I332" r:id="rId328" display="открыть"/>
    <hyperlink ref="I333" r:id="rId329" display="открыть"/>
    <hyperlink ref="I334" r:id="rId330" display="открыть"/>
    <hyperlink ref="I335" r:id="rId331" display="открыть"/>
    <hyperlink ref="I336" r:id="rId332" display="открыть"/>
    <hyperlink ref="I337" r:id="rId333" display="открыть"/>
    <hyperlink ref="I338" r:id="rId334" display="открыть"/>
    <hyperlink ref="I339" r:id="rId335" display="открыть"/>
    <hyperlink ref="I340" r:id="rId336" display="открыть"/>
    <hyperlink ref="I341" r:id="rId337" display="открыть"/>
    <hyperlink ref="I342" r:id="rId338" display="открыть"/>
    <hyperlink ref="I343" r:id="rId339" display="открыть"/>
    <hyperlink ref="I344" r:id="rId340" display="открыть"/>
    <hyperlink ref="I345" r:id="rId341" display="открыть"/>
    <hyperlink ref="I346" r:id="rId342" display="открыть"/>
    <hyperlink ref="I347" r:id="rId343" display="открыть"/>
    <hyperlink ref="I348" r:id="rId344" display="открыть"/>
    <hyperlink ref="I349" r:id="rId345" display="открыть"/>
    <hyperlink ref="I350" r:id="rId346" display="открыть"/>
    <hyperlink ref="I351" r:id="rId347" display="открыть"/>
    <hyperlink ref="I352" r:id="rId348" display="открыть"/>
    <hyperlink ref="I353" r:id="rId349" display="открыть"/>
    <hyperlink ref="I354" r:id="rId350" display="открыть"/>
    <hyperlink ref="I355" r:id="rId351" display="открыть"/>
    <hyperlink ref="I356" r:id="rId352" display="открыть"/>
    <hyperlink ref="I357" r:id="rId353" display="открыть"/>
    <hyperlink ref="I358" r:id="rId354" display="открыть"/>
    <hyperlink ref="I359" r:id="rId355" display="открыть"/>
    <hyperlink ref="I360" r:id="rId356" display="открыть"/>
    <hyperlink ref="I361" r:id="rId357" display="открыть"/>
    <hyperlink ref="I362" r:id="rId358" display="открыть"/>
    <hyperlink ref="I363" r:id="rId359" display="открыть"/>
    <hyperlink ref="I364" r:id="rId360" display="открыть"/>
    <hyperlink ref="I365" r:id="rId361" display="открыть"/>
    <hyperlink ref="I366" r:id="rId362" display="открыть"/>
    <hyperlink ref="I367" r:id="rId363" display="открыть"/>
    <hyperlink ref="I368" r:id="rId364" display="открыть"/>
    <hyperlink ref="I369" r:id="rId365" display="открыть"/>
    <hyperlink ref="I370" r:id="rId366" display="открыть"/>
    <hyperlink ref="I371" r:id="rId367" display="открыть"/>
    <hyperlink ref="I372" r:id="rId368" display="открыть"/>
    <hyperlink ref="I373" r:id="rId369" display="открыть"/>
    <hyperlink ref="I374" r:id="rId370" display="открыть"/>
    <hyperlink ref="I375" r:id="rId371" display="открыть"/>
    <hyperlink ref="I376" r:id="rId372" display="открыть"/>
    <hyperlink ref="I377" r:id="rId373" display="открыть"/>
    <hyperlink ref="I378" r:id="rId374" display="открыть"/>
    <hyperlink ref="I379" r:id="rId375" display="открыть"/>
    <hyperlink ref="I380" r:id="rId376" display="открыть"/>
    <hyperlink ref="I381" r:id="rId377" display="открыть"/>
    <hyperlink ref="I382" r:id="rId378" display="открыть"/>
    <hyperlink ref="I383" r:id="rId379" display="открыть"/>
    <hyperlink ref="I384" r:id="rId380" display="открыть"/>
    <hyperlink ref="I385" r:id="rId381" display="открыть"/>
    <hyperlink ref="I386" r:id="rId382" display="открыть"/>
    <hyperlink ref="I387" r:id="rId383" display="открыть"/>
    <hyperlink ref="I388" r:id="rId384" display="открыть"/>
    <hyperlink ref="I389" r:id="rId385" display="открыть"/>
    <hyperlink ref="I390" r:id="rId386" display="открыть"/>
    <hyperlink ref="I391" r:id="rId387" display="открыть"/>
    <hyperlink ref="I392" r:id="rId388" display="открыть"/>
    <hyperlink ref="I393" r:id="rId389" display="открыть"/>
    <hyperlink ref="I394" r:id="rId390" display="открыть"/>
    <hyperlink ref="I395" r:id="rId391" display="открыть"/>
    <hyperlink ref="I396" r:id="rId392" display="открыть"/>
    <hyperlink ref="I397" r:id="rId393" display="открыть"/>
    <hyperlink ref="I398" r:id="rId394" display="открыть"/>
    <hyperlink ref="I399" r:id="rId395" display="открыть"/>
    <hyperlink ref="I400" r:id="rId396" display="открыть"/>
    <hyperlink ref="I401" r:id="rId397" display="открыть"/>
    <hyperlink ref="I402" r:id="rId398" display="открыть"/>
    <hyperlink ref="I403" r:id="rId399" display="открыть"/>
    <hyperlink ref="I404" r:id="rId400" display="открыть"/>
    <hyperlink ref="I405" r:id="rId401" display="открыть"/>
    <hyperlink ref="I406" r:id="rId402" display="открыть"/>
    <hyperlink ref="I407" r:id="rId403" display="открыть"/>
    <hyperlink ref="I408" r:id="rId404" display="открыть"/>
    <hyperlink ref="I409" r:id="rId405" display="открыть"/>
    <hyperlink ref="I410" r:id="rId406" display="открыть"/>
    <hyperlink ref="I411" r:id="rId407" display="открыть"/>
    <hyperlink ref="I412" r:id="rId408" display="открыть"/>
    <hyperlink ref="I413" r:id="rId409" display="открыть"/>
    <hyperlink ref="I414" r:id="rId410" display="открыть"/>
    <hyperlink ref="I415" r:id="rId411" display="открыть"/>
    <hyperlink ref="I416" r:id="rId412" display="открыть"/>
    <hyperlink ref="I417" r:id="rId413" display="открыть"/>
    <hyperlink ref="I418" r:id="rId414" display="открыть"/>
    <hyperlink ref="I419" r:id="rId415" display="открыть"/>
    <hyperlink ref="I420" r:id="rId416" display="открыть"/>
    <hyperlink ref="I421" r:id="rId417" display="открыть"/>
    <hyperlink ref="I422" r:id="rId418" display="открыть"/>
    <hyperlink ref="I423" r:id="rId419" display="открыть"/>
    <hyperlink ref="I424" r:id="rId420" display="открыть"/>
    <hyperlink ref="I425" r:id="rId421" display="открыть"/>
    <hyperlink ref="I426" r:id="rId422" display="открыть"/>
    <hyperlink ref="I427" r:id="rId423" display="открыть"/>
    <hyperlink ref="I428" r:id="rId424" display="открыть"/>
    <hyperlink ref="I429" r:id="rId425" display="открыть"/>
    <hyperlink ref="I430" r:id="rId426" display="открыть"/>
    <hyperlink ref="I431" r:id="rId427" display="открыть"/>
    <hyperlink ref="I432" r:id="rId428" display="открыть"/>
    <hyperlink ref="I433" r:id="rId429" display="открыть"/>
    <hyperlink ref="I434" r:id="rId430" display="открыть"/>
    <hyperlink ref="I435" r:id="rId431" display="открыть"/>
    <hyperlink ref="I436" r:id="rId432" display="открыть"/>
    <hyperlink ref="I437" r:id="rId433" display="открыть"/>
    <hyperlink ref="I438" r:id="rId434" display="открыть"/>
    <hyperlink ref="I439" r:id="rId435" display="открыть"/>
    <hyperlink ref="I440" r:id="rId436" display="открыть"/>
    <hyperlink ref="I441" r:id="rId437" display="открыть"/>
    <hyperlink ref="I442" r:id="rId438" display="открыть"/>
    <hyperlink ref="I443" r:id="rId439" display="открыть"/>
    <hyperlink ref="I444" r:id="rId440" display="открыть"/>
    <hyperlink ref="I445" r:id="rId441" display="открыть"/>
    <hyperlink ref="I446" r:id="rId442" display="открыть"/>
    <hyperlink ref="I447" r:id="rId443" display="открыть"/>
    <hyperlink ref="I448" r:id="rId444" display="открыть"/>
    <hyperlink ref="I449" r:id="rId445" display="открыть"/>
    <hyperlink ref="I450" r:id="rId446" display="открыть"/>
    <hyperlink ref="I451" r:id="rId447" display="открыть"/>
    <hyperlink ref="I452" r:id="rId448" display="открыть"/>
    <hyperlink ref="I453" r:id="rId449" display="открыть"/>
    <hyperlink ref="I454" r:id="rId450" display="открыть"/>
    <hyperlink ref="I455" r:id="rId451" display="открыть"/>
    <hyperlink ref="I456" r:id="rId452" display="открыть"/>
    <hyperlink ref="I457" r:id="rId453" display="открыть"/>
    <hyperlink ref="I458" r:id="rId454" display="открыть"/>
    <hyperlink ref="I459" r:id="rId455" display="открыть"/>
    <hyperlink ref="I460" r:id="rId456" display="открыть"/>
    <hyperlink ref="I461" r:id="rId457" display="открыть"/>
    <hyperlink ref="I462" r:id="rId458" display="открыть"/>
    <hyperlink ref="I463" r:id="rId459" display="открыть"/>
    <hyperlink ref="I464" r:id="rId460" display="открыть"/>
    <hyperlink ref="I465" r:id="rId461" display="открыть"/>
    <hyperlink ref="I466" r:id="rId462" display="открыть"/>
    <hyperlink ref="I467" r:id="rId463" display="открыть"/>
    <hyperlink ref="I468" r:id="rId464" display="открыть"/>
    <hyperlink ref="I469" r:id="rId465" display="открыть"/>
    <hyperlink ref="I470" r:id="rId466" display="открыть"/>
    <hyperlink ref="I471" r:id="rId467" display="открыть"/>
    <hyperlink ref="I472" r:id="rId468" display="открыть"/>
    <hyperlink ref="I473" r:id="rId469" display="открыть"/>
    <hyperlink ref="I474" r:id="rId470" display="открыть"/>
    <hyperlink ref="I475" r:id="rId471" display="открыть"/>
    <hyperlink ref="I476" r:id="rId472" display="открыть"/>
    <hyperlink ref="I477" r:id="rId473" display="открыть"/>
    <hyperlink ref="I478" r:id="rId474" display="открыть"/>
    <hyperlink ref="I479" r:id="rId475" display="открыть"/>
    <hyperlink ref="I480" r:id="rId476" display="открыть"/>
    <hyperlink ref="I481" r:id="rId477" display="открыть"/>
    <hyperlink ref="I482" r:id="rId478" display="открыть"/>
    <hyperlink ref="I483" r:id="rId479" display="открыть"/>
    <hyperlink ref="I484" r:id="rId480" display="открыть"/>
    <hyperlink ref="I485" r:id="rId481" display="открыть"/>
    <hyperlink ref="I486" r:id="rId482" display="открыть"/>
    <hyperlink ref="I487" r:id="rId483" display="открыть"/>
    <hyperlink ref="I488" r:id="rId484" display="открыть"/>
    <hyperlink ref="I489" r:id="rId485" display="открыть"/>
    <hyperlink ref="I490" r:id="rId486" display="открыть"/>
    <hyperlink ref="I491" r:id="rId487" display="открыть"/>
    <hyperlink ref="I492" r:id="rId488" display="открыть"/>
    <hyperlink ref="I493" r:id="rId489" display="открыть"/>
    <hyperlink ref="I494" r:id="rId490" display="открыть"/>
    <hyperlink ref="I495" r:id="rId491" display="открыть"/>
    <hyperlink ref="I496" r:id="rId492" display="открыть"/>
    <hyperlink ref="I497" r:id="rId493" display="открыть"/>
    <hyperlink ref="I498" r:id="rId494" display="открыть"/>
    <hyperlink ref="I499" r:id="rId495" display="открыть"/>
    <hyperlink ref="I500" r:id="rId496" display="открыть"/>
    <hyperlink ref="I501" r:id="rId497" display="открыть"/>
    <hyperlink ref="I502" r:id="rId498" display="открыть"/>
    <hyperlink ref="I503" r:id="rId499" display="открыть"/>
    <hyperlink ref="I504" r:id="rId500" display="открыть"/>
    <hyperlink ref="I505" r:id="rId501" display="открыть"/>
    <hyperlink ref="I506" r:id="rId502" display="открыть"/>
    <hyperlink ref="I507" r:id="rId503" display="открыть"/>
    <hyperlink ref="I508" r:id="rId504" display="открыть"/>
    <hyperlink ref="I509" r:id="rId505" display="открыть"/>
    <hyperlink ref="I510" r:id="rId506" display="открыть"/>
    <hyperlink ref="I511" r:id="rId507" display="открыть"/>
    <hyperlink ref="I512" r:id="rId508" display="открыть"/>
    <hyperlink ref="I513" r:id="rId509" display="открыть"/>
    <hyperlink ref="I514" r:id="rId510" display="открыть"/>
    <hyperlink ref="I515" r:id="rId511" display="открыть"/>
    <hyperlink ref="I516" r:id="rId512" display="открыть"/>
    <hyperlink ref="I517" r:id="rId513" display="открыть"/>
    <hyperlink ref="I518" r:id="rId514" display="открыть"/>
    <hyperlink ref="I519" r:id="rId515" display="открыть"/>
    <hyperlink ref="I520" r:id="rId516" display="открыть"/>
    <hyperlink ref="I521" r:id="rId517" display="открыть"/>
    <hyperlink ref="I522" r:id="rId518" display="открыть"/>
    <hyperlink ref="I523" r:id="rId519" display="открыть"/>
    <hyperlink ref="I524" r:id="rId520" display="открыть"/>
    <hyperlink ref="I525" r:id="rId521" display="открыть"/>
    <hyperlink ref="I526" r:id="rId522" display="открыть"/>
    <hyperlink ref="I527" r:id="rId523" display="открыть"/>
    <hyperlink ref="I528" r:id="rId524" display="открыть"/>
    <hyperlink ref="I529" r:id="rId525" display="открыть"/>
    <hyperlink ref="I530" r:id="rId526" display="открыть"/>
    <hyperlink ref="I531" r:id="rId527" display="открыть"/>
    <hyperlink ref="I532" r:id="rId528" display="открыть"/>
    <hyperlink ref="I533" r:id="rId529" display="открыть"/>
    <hyperlink ref="I534" r:id="rId530" display="открыть"/>
    <hyperlink ref="I535" r:id="rId531" display="открыть"/>
    <hyperlink ref="I536" r:id="rId532" display="открыть"/>
    <hyperlink ref="I537" r:id="rId533" display="открыть"/>
    <hyperlink ref="I538" r:id="rId534" display="открыть"/>
    <hyperlink ref="I539" r:id="rId535" display="открыть"/>
    <hyperlink ref="I540" r:id="rId536" display="открыть"/>
    <hyperlink ref="I541" r:id="rId537" display="открыть"/>
    <hyperlink ref="I542" r:id="rId538" display="открыть"/>
    <hyperlink ref="I543" r:id="rId539" display="открыть"/>
    <hyperlink ref="I544" r:id="rId540" display="открыть"/>
    <hyperlink ref="I545" r:id="rId541" display="открыть"/>
    <hyperlink ref="I546" r:id="rId542" display="открыть"/>
    <hyperlink ref="I547" r:id="rId543" display="открыть"/>
    <hyperlink ref="I548" r:id="rId544" display="открыть"/>
    <hyperlink ref="I549" r:id="rId545" display="открыть"/>
    <hyperlink ref="I550" r:id="rId546" display="открыть"/>
    <hyperlink ref="I551" r:id="rId547" display="открыть"/>
    <hyperlink ref="I552" r:id="rId548" display="открыть"/>
    <hyperlink ref="I553" r:id="rId549" display="открыть"/>
    <hyperlink ref="I554" r:id="rId550" display="открыть"/>
    <hyperlink ref="I555" r:id="rId551" display="открыть"/>
    <hyperlink ref="I556" r:id="rId552" display="открыть"/>
    <hyperlink ref="I557" r:id="rId553" display="открыть"/>
    <hyperlink ref="I558" r:id="rId554" display="открыть"/>
    <hyperlink ref="I559" r:id="rId555" display="открыть"/>
    <hyperlink ref="I560" r:id="rId556" display="открыть"/>
    <hyperlink ref="I561" r:id="rId557" display="открыть"/>
    <hyperlink ref="I562" r:id="rId558" display="открыть"/>
    <hyperlink ref="I563" r:id="rId559" display="открыть"/>
    <hyperlink ref="I564" r:id="rId560" display="открыть"/>
    <hyperlink ref="I565" r:id="rId561" display="открыть"/>
    <hyperlink ref="I566" r:id="rId562" display="открыть"/>
    <hyperlink ref="I567" r:id="rId563" display="открыть"/>
    <hyperlink ref="I568" r:id="rId564" display="открыть"/>
    <hyperlink ref="I569" r:id="rId565" display="открыть"/>
    <hyperlink ref="I570" r:id="rId566" display="открыть"/>
    <hyperlink ref="I571" r:id="rId567" display="открыть"/>
    <hyperlink ref="I572" r:id="rId568" display="открыть"/>
    <hyperlink ref="I573" r:id="rId569" display="открыть"/>
    <hyperlink ref="I574" r:id="rId570" display="открыть"/>
    <hyperlink ref="I575" r:id="rId571" display="открыть"/>
    <hyperlink ref="I576" r:id="rId572" display="открыть"/>
    <hyperlink ref="I577" r:id="rId573" display="открыть"/>
    <hyperlink ref="I578" r:id="rId574" display="открыть"/>
    <hyperlink ref="I579" r:id="rId575" display="открыть"/>
    <hyperlink ref="I580" r:id="rId576" display="открыть"/>
    <hyperlink ref="I581" r:id="rId577" display="открыть"/>
    <hyperlink ref="I582" r:id="rId578" display="открыть"/>
    <hyperlink ref="I583" r:id="rId579" display="открыть"/>
    <hyperlink ref="I584" r:id="rId580" display="открыть"/>
    <hyperlink ref="I585" r:id="rId581" display="открыть"/>
    <hyperlink ref="I586" r:id="rId582" display="открыть"/>
    <hyperlink ref="I587" r:id="rId583" display="открыть"/>
    <hyperlink ref="I588" r:id="rId584" display="открыть"/>
    <hyperlink ref="I589" r:id="rId585" display="открыть"/>
    <hyperlink ref="I590" r:id="rId586" display="открыть"/>
    <hyperlink ref="I591" r:id="rId587" display="открыть"/>
    <hyperlink ref="I592" r:id="rId588" display="открыть"/>
    <hyperlink ref="I593" r:id="rId589" display="открыть"/>
    <hyperlink ref="I594" r:id="rId590" display="открыть"/>
    <hyperlink ref="I595" r:id="rId591" display="открыть"/>
    <hyperlink ref="I596" r:id="rId592" display="открыть"/>
    <hyperlink ref="I597" r:id="rId593" display="открыть"/>
    <hyperlink ref="I598" r:id="rId594" display="открыть"/>
    <hyperlink ref="I599" r:id="rId595" display="открыть"/>
    <hyperlink ref="I600" r:id="rId596" display="открыть"/>
    <hyperlink ref="I601" r:id="rId597" display="открыть"/>
    <hyperlink ref="I602" r:id="rId598" display="открыть"/>
    <hyperlink ref="I603" r:id="rId599" display="открыть"/>
    <hyperlink ref="I604" r:id="rId600" display="открыть"/>
    <hyperlink ref="I605" r:id="rId601" display="открыть"/>
    <hyperlink ref="I606" r:id="rId602" display="открыть"/>
    <hyperlink ref="I607" r:id="rId603" display="открыть"/>
    <hyperlink ref="I608" r:id="rId604" display="открыть"/>
    <hyperlink ref="I609" r:id="rId605" display="открыть"/>
    <hyperlink ref="I610" r:id="rId606" display="открыть"/>
    <hyperlink ref="I611" r:id="rId607" display="открыть"/>
    <hyperlink ref="I612" r:id="rId608" display="открыть"/>
    <hyperlink ref="I613" r:id="rId609" display="открыть"/>
    <hyperlink ref="I614" r:id="rId610" display="открыть"/>
    <hyperlink ref="I615" r:id="rId611" display="открыть"/>
    <hyperlink ref="I616" r:id="rId612" display="открыть"/>
    <hyperlink ref="I617" r:id="rId613" display="открыть"/>
    <hyperlink ref="I618" r:id="rId614" display="открыть"/>
    <hyperlink ref="I619" r:id="rId615" display="открыть"/>
    <hyperlink ref="I620" r:id="rId616" display="открыть"/>
    <hyperlink ref="I621" r:id="rId617" display="открыть"/>
    <hyperlink ref="I622" r:id="rId618" display="открыть"/>
    <hyperlink ref="I623" r:id="rId619" display="открыть"/>
    <hyperlink ref="I624" r:id="rId620" display="открыть"/>
    <hyperlink ref="I625" r:id="rId621" display="открыть"/>
    <hyperlink ref="I626" r:id="rId622" display="открыть"/>
    <hyperlink ref="I627" r:id="rId623" display="открыть"/>
    <hyperlink ref="I628" r:id="rId624" display="открыть"/>
    <hyperlink ref="I629" r:id="rId625" display="открыть"/>
    <hyperlink ref="I630" r:id="rId626" display="открыть"/>
    <hyperlink ref="I631" r:id="rId627" display="открыть"/>
    <hyperlink ref="I632" r:id="rId628" display="открыть"/>
    <hyperlink ref="I633" r:id="rId629" display="открыть"/>
    <hyperlink ref="I634" r:id="rId630" display="открыть"/>
    <hyperlink ref="I635" r:id="rId631" display="открыть"/>
    <hyperlink ref="I636" r:id="rId632" display="открыть"/>
    <hyperlink ref="I637" r:id="rId633" display="открыть"/>
    <hyperlink ref="I638" r:id="rId634" display="открыть"/>
    <hyperlink ref="I639" r:id="rId635" display="открыть"/>
    <hyperlink ref="I640" r:id="rId636" display="открыть"/>
    <hyperlink ref="I641" r:id="rId637" display="открыть"/>
    <hyperlink ref="I642" r:id="rId638" display="открыть"/>
    <hyperlink ref="I643" r:id="rId639" display="открыть"/>
    <hyperlink ref="I644" r:id="rId640" display="открыть"/>
    <hyperlink ref="I645" r:id="rId641" display="открыть"/>
    <hyperlink ref="I646" r:id="rId642" display="открыть"/>
    <hyperlink ref="I647" r:id="rId643" display="открыть"/>
    <hyperlink ref="I648" r:id="rId644" display="открыть"/>
    <hyperlink ref="I649" r:id="rId645" display="открыть"/>
    <hyperlink ref="I650" r:id="rId646" display="открыть"/>
    <hyperlink ref="I651" r:id="rId647" display="открыть"/>
    <hyperlink ref="I652" r:id="rId648" display="открыть"/>
    <hyperlink ref="I653" r:id="rId649" display="открыть"/>
    <hyperlink ref="I654" r:id="rId650" display="открыть"/>
    <hyperlink ref="I655" r:id="rId651" display="открыть"/>
    <hyperlink ref="I656" r:id="rId652" display="открыть"/>
    <hyperlink ref="I657" r:id="rId653" display="открыть"/>
    <hyperlink ref="I658" r:id="rId654" display="открыть"/>
    <hyperlink ref="I659" r:id="rId655" display="открыть"/>
    <hyperlink ref="I660" r:id="rId656" display="открыть"/>
    <hyperlink ref="I661" r:id="rId657" display="открыть"/>
    <hyperlink ref="I662" r:id="rId658" display="открыть"/>
    <hyperlink ref="I663" r:id="rId659" display="открыть"/>
    <hyperlink ref="I664" r:id="rId660" display="открыть"/>
    <hyperlink ref="I665" r:id="rId661" display="открыть"/>
    <hyperlink ref="I666" r:id="rId662" display="открыть"/>
    <hyperlink ref="I667" r:id="rId663" display="открыть"/>
    <hyperlink ref="I668" r:id="rId664" display="открыть"/>
    <hyperlink ref="I669" r:id="rId665" display="открыть"/>
    <hyperlink ref="I670" r:id="rId666" display="открыть"/>
    <hyperlink ref="I671" r:id="rId667" display="открыть"/>
    <hyperlink ref="I672" r:id="rId668" display="открыть"/>
    <hyperlink ref="I673" r:id="rId669" display="открыть"/>
    <hyperlink ref="I674" r:id="rId670" display="открыть"/>
    <hyperlink ref="I675" r:id="rId671" display="открыть"/>
    <hyperlink ref="I676" r:id="rId672" display="открыть"/>
    <hyperlink ref="I677" r:id="rId673" display="открыть"/>
    <hyperlink ref="I678" r:id="rId674" display="открыть"/>
    <hyperlink ref="I679" r:id="rId675" display="открыть"/>
    <hyperlink ref="I680" r:id="rId676" display="открыть"/>
    <hyperlink ref="I681" r:id="rId677" display="открыть"/>
    <hyperlink ref="I682" r:id="rId678" display="открыть"/>
    <hyperlink ref="I683" r:id="rId679" display="открыть"/>
    <hyperlink ref="I684" r:id="rId680" display="открыть"/>
    <hyperlink ref="I685" r:id="rId681" display="открыть"/>
    <hyperlink ref="I686" r:id="rId682" display="открыть"/>
    <hyperlink ref="I687" r:id="rId683" display="открыть"/>
    <hyperlink ref="I688" r:id="rId684" display="открыть"/>
    <hyperlink ref="I689" r:id="rId685" display="открыть"/>
    <hyperlink ref="I690" r:id="rId686" display="открыть"/>
    <hyperlink ref="I691" r:id="rId687" display="открыть"/>
    <hyperlink ref="I692" r:id="rId688" display="открыть"/>
    <hyperlink ref="I693" r:id="rId689" display="открыть"/>
    <hyperlink ref="I694" r:id="rId690" display="открыть"/>
    <hyperlink ref="I695" r:id="rId691" display="открыть"/>
    <hyperlink ref="I696" r:id="rId692" display="открыть"/>
    <hyperlink ref="I697" r:id="rId693" display="открыть"/>
    <hyperlink ref="I698" r:id="rId694" display="открыть"/>
    <hyperlink ref="I699" r:id="rId695" display="открыть"/>
    <hyperlink ref="I700" r:id="rId696" display="открыть"/>
    <hyperlink ref="I701" r:id="rId697" display="открыть"/>
    <hyperlink ref="I702" r:id="rId698" display="открыть"/>
    <hyperlink ref="I703" r:id="rId699" display="открыть"/>
    <hyperlink ref="I704" r:id="rId700" display="открыть"/>
    <hyperlink ref="I705" r:id="rId701" display="открыть"/>
    <hyperlink ref="I706" r:id="rId702" display="открыть"/>
    <hyperlink ref="I707" r:id="rId703" display="открыть"/>
    <hyperlink ref="I708" r:id="rId704" display="открыть"/>
    <hyperlink ref="I709" r:id="rId705" display="открыть"/>
    <hyperlink ref="I710" r:id="rId706" display="открыть"/>
    <hyperlink ref="I711" r:id="rId707" display="открыть"/>
    <hyperlink ref="I712" r:id="rId708" display="открыть"/>
    <hyperlink ref="I713" r:id="rId709" display="открыть"/>
    <hyperlink ref="I714" r:id="rId710" display="открыть"/>
    <hyperlink ref="I715" r:id="rId711" display="открыть"/>
    <hyperlink ref="I716" r:id="rId712" display="открыть"/>
    <hyperlink ref="I717" r:id="rId713" display="открыть"/>
    <hyperlink ref="I718" r:id="rId714" display="открыть"/>
    <hyperlink ref="I719" r:id="rId715" display="открыть"/>
    <hyperlink ref="I720" r:id="rId716" display="открыть"/>
    <hyperlink ref="I721" r:id="rId717" display="открыть"/>
    <hyperlink ref="I722" r:id="rId718" display="открыть"/>
    <hyperlink ref="I723" r:id="rId719" display="открыть"/>
    <hyperlink ref="I724" r:id="rId720" display="открыть"/>
    <hyperlink ref="I725" r:id="rId721" display="открыть"/>
    <hyperlink ref="I726" r:id="rId722" display="открыть"/>
    <hyperlink ref="I727" r:id="rId723" display="открыть"/>
    <hyperlink ref="I728" r:id="rId724" display="открыть"/>
    <hyperlink ref="I729" r:id="rId725" display="открыть"/>
    <hyperlink ref="I730" r:id="rId726" display="открыть"/>
    <hyperlink ref="I731" r:id="rId727" display="открыть"/>
    <hyperlink ref="I732" r:id="rId728" display="открыть"/>
    <hyperlink ref="I733" r:id="rId729" display="открыть"/>
    <hyperlink ref="I734" r:id="rId730" display="открыть"/>
    <hyperlink ref="I735" r:id="rId731" display="открыть"/>
    <hyperlink ref="I736" r:id="rId732" display="открыть"/>
    <hyperlink ref="I737" r:id="rId733" display="открыть"/>
    <hyperlink ref="I738" r:id="rId734" display="открыть"/>
    <hyperlink ref="I739" r:id="rId735" display="открыть"/>
    <hyperlink ref="I740" r:id="rId736" display="открыть"/>
    <hyperlink ref="I741" r:id="rId737" display="открыть"/>
    <hyperlink ref="I742" r:id="rId738" display="открыть"/>
    <hyperlink ref="I743" r:id="rId739" display="открыт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1055</v>
      </c>
    </row>
    <row r="2" customFormat="false" ht="15" hidden="false" customHeight="false" outlineLevel="0" collapsed="false">
      <c r="A2" s="2" t="s">
        <v>1056</v>
      </c>
    </row>
    <row r="4" customFormat="false" ht="15" hidden="false" customHeight="false" outlineLevel="0" collapsed="false">
      <c r="A4" s="21" t="s">
        <v>1057</v>
      </c>
      <c r="B4" s="21" t="s">
        <v>6</v>
      </c>
      <c r="C4" s="21" t="s">
        <v>7</v>
      </c>
      <c r="D4" s="21" t="s">
        <v>8</v>
      </c>
      <c r="E4" s="21" t="s">
        <v>1058</v>
      </c>
    </row>
    <row r="5" customFormat="false" ht="15" hidden="false" customHeight="false" outlineLevel="0" collapsed="false">
      <c r="A5" s="19" t="s">
        <v>1059</v>
      </c>
      <c r="B5" s="25" t="n">
        <v>289</v>
      </c>
      <c r="C5" s="22" t="n">
        <f aca="false">IF(B5="","",IF(B5&lt;Параметры!$B$4,CEILING(B5*Параметры!$B$5,100)-10,IF(B5&lt;=Параметры!$B$6,CEILING(B5*Параметры!$B$7,100)-10,CEILING(B5*Параметры!$B$8,100)-10)))</f>
        <v>590</v>
      </c>
      <c r="D5" s="22" t="n">
        <f aca="false">IF(B5="","",ROUND(C5*(1-Параметры!$B$9-Параметры!$B$10-Параметры!$B$11)-B5,0))</f>
        <v>215</v>
      </c>
      <c r="E5" s="26"/>
    </row>
    <row r="6" customFormat="false" ht="15" hidden="false" customHeight="false" outlineLevel="0" collapsed="false">
      <c r="A6" s="19" t="s">
        <v>1060</v>
      </c>
      <c r="B6" s="25" t="n">
        <v>379</v>
      </c>
      <c r="C6" s="22" t="n">
        <f aca="false">IF(B6="","",IF(B6&lt;Параметры!$B$4,CEILING(B6*Параметры!$B$5,100)-10,IF(B6&lt;=Параметры!$B$6,CEILING(B6*Параметры!$B$7,100)-10,CEILING(B6*Параметры!$B$8,100)-10)))</f>
        <v>790</v>
      </c>
      <c r="D6" s="22" t="n">
        <f aca="false">IF(B6="","",ROUND(C6*(1-Параметры!$B$9-Параметры!$B$10-Параметры!$B$11)-B6,0))</f>
        <v>296</v>
      </c>
      <c r="E6" s="26"/>
    </row>
    <row r="7" customFormat="false" ht="15" hidden="false" customHeight="false" outlineLevel="0" collapsed="false">
      <c r="A7" s="19" t="s">
        <v>1061</v>
      </c>
      <c r="B7" s="25" t="n">
        <v>472</v>
      </c>
      <c r="C7" s="22" t="n">
        <f aca="false">IF(B7="","",IF(B7&lt;Параметры!$B$4,CEILING(B7*Параметры!$B$5,100)-10,IF(B7&lt;=Параметры!$B$6,CEILING(B7*Параметры!$B$7,100)-10,CEILING(B7*Параметры!$B$8,100)-10)))</f>
        <v>990</v>
      </c>
      <c r="D7" s="22" t="n">
        <f aca="false">IF(B7="","",ROUND(C7*(1-Параметры!$B$9-Параметры!$B$10-Параметры!$B$11)-B7,0))</f>
        <v>374</v>
      </c>
      <c r="E7" s="26"/>
    </row>
    <row r="8" customFormat="false" ht="15" hidden="false" customHeight="false" outlineLevel="0" collapsed="false">
      <c r="A8" s="19" t="s">
        <v>1062</v>
      </c>
      <c r="B8" s="25" t="n">
        <v>519</v>
      </c>
      <c r="C8" s="22" t="n">
        <f aca="false">IF(B8="","",IF(B8&lt;Параметры!$B$4,CEILING(B8*Параметры!$B$5,100)-10,IF(B8&lt;=Параметры!$B$6,CEILING(B8*Параметры!$B$7,100)-10,CEILING(B8*Параметры!$B$8,100)-10)))</f>
        <v>1090</v>
      </c>
      <c r="D8" s="22" t="n">
        <f aca="false">IF(B8="","",ROUND(C8*(1-Параметры!$B$9-Параметры!$B$10-Параметры!$B$11)-B8,0))</f>
        <v>413</v>
      </c>
      <c r="E8" s="26" t="s">
        <v>1063</v>
      </c>
    </row>
    <row r="9" customFormat="false" ht="15" hidden="false" customHeight="false" outlineLevel="0" collapsed="false">
      <c r="A9" s="19" t="s">
        <v>166</v>
      </c>
      <c r="B9" s="25" t="n">
        <v>629</v>
      </c>
      <c r="C9" s="22" t="n">
        <f aca="false">IF(B9="","",IF(B9&lt;Параметры!$B$4,CEILING(B9*Параметры!$B$5,100)-10,IF(B9&lt;=Параметры!$B$6,CEILING(B9*Параметры!$B$7,100)-10,CEILING(B9*Параметры!$B$8,100)-10)))</f>
        <v>1290</v>
      </c>
      <c r="D9" s="22" t="n">
        <f aca="false">IF(B9="","",ROUND(C9*(1-Параметры!$B$9-Параметры!$B$10-Параметры!$B$11)-B9,0))</f>
        <v>474</v>
      </c>
      <c r="E9" s="26" t="s">
        <v>1063</v>
      </c>
    </row>
    <row r="10" customFormat="false" ht="15" hidden="false" customHeight="false" outlineLevel="0" collapsed="false">
      <c r="A10" s="19" t="s">
        <v>1064</v>
      </c>
      <c r="B10" s="25" t="n">
        <v>829</v>
      </c>
      <c r="C10" s="22" t="n">
        <f aca="false">IF(B10="","",IF(B10&lt;Параметры!$B$4,CEILING(B10*Параметры!$B$5,100)-10,IF(B10&lt;=Параметры!$B$6,CEILING(B10*Параметры!$B$7,100)-10,CEILING(B10*Параметры!$B$8,100)-10)))</f>
        <v>1690</v>
      </c>
      <c r="D10" s="22" t="n">
        <f aca="false">IF(B10="","",ROUND(C10*(1-Параметры!$B$9-Параметры!$B$10-Параметры!$B$11)-B10,0))</f>
        <v>616</v>
      </c>
      <c r="E10" s="26"/>
    </row>
    <row r="11" customFormat="false" ht="15" hidden="false" customHeight="false" outlineLevel="0" collapsed="false">
      <c r="A11" s="19" t="s">
        <v>1065</v>
      </c>
      <c r="B11" s="25" t="n">
        <v>931</v>
      </c>
      <c r="C11" s="22" t="n">
        <f aca="false">IF(B11="","",IF(B11&lt;Параметры!$B$4,CEILING(B11*Параметры!$B$5,100)-10,IF(B11&lt;=Параметры!$B$6,CEILING(B11*Параметры!$B$7,100)-10,CEILING(B11*Параметры!$B$8,100)-10)))</f>
        <v>1890</v>
      </c>
      <c r="D11" s="22" t="n">
        <f aca="false">IF(B11="","",ROUND(C11*(1-Параметры!$B$9-Параметры!$B$10-Параметры!$B$11)-B11,0))</f>
        <v>685</v>
      </c>
      <c r="E11" s="26" t="s">
        <v>1063</v>
      </c>
    </row>
    <row r="12" customFormat="false" ht="15" hidden="false" customHeight="false" outlineLevel="0" collapsed="false">
      <c r="A12" s="19" t="s">
        <v>1066</v>
      </c>
      <c r="B12" s="25" t="n">
        <v>1052</v>
      </c>
      <c r="C12" s="22" t="n">
        <f aca="false">IF(B12="","",IF(B12&lt;Параметры!$B$4,CEILING(B12*Параметры!$B$5,100)-10,IF(B12&lt;=Параметры!$B$6,CEILING(B12*Параметры!$B$7,100)-10,CEILING(B12*Параметры!$B$8,100)-10)))</f>
        <v>2190</v>
      </c>
      <c r="D12" s="22" t="n">
        <f aca="false">IF(B12="","",ROUND(C12*(1-Параметры!$B$9-Параметры!$B$10-Параметры!$B$11)-B12,0))</f>
        <v>820</v>
      </c>
      <c r="E12" s="26" t="s">
        <v>1063</v>
      </c>
    </row>
    <row r="13" customFormat="false" ht="15" hidden="false" customHeight="false" outlineLevel="0" collapsed="false">
      <c r="A13" s="19" t="s">
        <v>1067</v>
      </c>
      <c r="B13" s="25" t="n">
        <v>1269</v>
      </c>
      <c r="C13" s="22" t="n">
        <f aca="false">IF(B13="","",IF(B13&lt;Параметры!$B$4,CEILING(B13*Параметры!$B$5,100)-10,IF(B13&lt;=Параметры!$B$6,CEILING(B13*Параметры!$B$7,100)-10,CEILING(B13*Параметры!$B$8,100)-10)))</f>
        <v>2590</v>
      </c>
      <c r="D13" s="22" t="n">
        <f aca="false">IF(B13="","",ROUND(C13*(1-Параметры!$B$9-Параметры!$B$10-Параметры!$B$11)-B13,0))</f>
        <v>945</v>
      </c>
      <c r="E13" s="26"/>
    </row>
    <row r="14" customFormat="false" ht="15" hidden="false" customHeight="false" outlineLevel="0" collapsed="false">
      <c r="A14" s="19" t="s">
        <v>1068</v>
      </c>
      <c r="B14" s="25" t="n">
        <v>1372</v>
      </c>
      <c r="C14" s="22" t="n">
        <f aca="false">IF(B14="","",IF(B14&lt;Параметры!$B$4,CEILING(B14*Параметры!$B$5,100)-10,IF(B14&lt;=Параметры!$B$6,CEILING(B14*Параметры!$B$7,100)-10,CEILING(B14*Параметры!$B$8,100)-10)))</f>
        <v>2790</v>
      </c>
      <c r="D14" s="22" t="n">
        <f aca="false">IF(B14="","",ROUND(C14*(1-Параметры!$B$9-Параметры!$B$10-Параметры!$B$11)-B14,0))</f>
        <v>1013</v>
      </c>
      <c r="E14" s="26"/>
    </row>
    <row r="16" customFormat="false" ht="15" hidden="false" customHeight="false" outlineLevel="0" collapsed="false">
      <c r="A16" s="18" t="s">
        <v>1069</v>
      </c>
    </row>
    <row r="17" customFormat="false" ht="15" hidden="false" customHeight="false" outlineLevel="0" collapsed="false">
      <c r="A17" s="26" t="s">
        <v>1070</v>
      </c>
      <c r="B17" s="19" t="s">
        <v>167</v>
      </c>
    </row>
    <row r="18" customFormat="false" ht="15" hidden="false" customHeight="false" outlineLevel="0" collapsed="false">
      <c r="A18" s="26" t="s">
        <v>1071</v>
      </c>
      <c r="B18" s="19" t="s">
        <v>171</v>
      </c>
    </row>
    <row r="19" customFormat="false" ht="15" hidden="false" customHeight="false" outlineLevel="0" collapsed="false">
      <c r="A19" s="26" t="s">
        <v>1072</v>
      </c>
      <c r="B19" s="19" t="s">
        <v>174</v>
      </c>
    </row>
    <row r="20" customFormat="false" ht="15" hidden="false" customHeight="false" outlineLevel="0" collapsed="false">
      <c r="A20" s="26" t="s">
        <v>1073</v>
      </c>
      <c r="B20" s="19" t="s">
        <v>177</v>
      </c>
    </row>
    <row r="21" customFormat="false" ht="15" hidden="false" customHeight="false" outlineLevel="0" collapsed="false">
      <c r="A21" s="26" t="s">
        <v>1074</v>
      </c>
      <c r="B21" s="19" t="s">
        <v>180</v>
      </c>
    </row>
    <row r="22" customFormat="false" ht="15" hidden="false" customHeight="false" outlineLevel="0" collapsed="false">
      <c r="A22" s="26" t="s">
        <v>1075</v>
      </c>
      <c r="B22" s="19" t="s">
        <v>183</v>
      </c>
    </row>
    <row r="23" customFormat="false" ht="15" hidden="false" customHeight="false" outlineLevel="0" collapsed="false">
      <c r="A23" s="26" t="s">
        <v>1076</v>
      </c>
      <c r="B23" s="19" t="s">
        <v>186</v>
      </c>
    </row>
    <row r="24" customFormat="false" ht="15" hidden="false" customHeight="false" outlineLevel="0" collapsed="false">
      <c r="A24" s="26" t="s">
        <v>1077</v>
      </c>
      <c r="B24" s="19" t="s">
        <v>189</v>
      </c>
    </row>
    <row r="25" customFormat="false" ht="15" hidden="false" customHeight="false" outlineLevel="0" collapsed="false">
      <c r="A25" s="26" t="s">
        <v>1078</v>
      </c>
      <c r="B25" s="19" t="s">
        <v>192</v>
      </c>
    </row>
    <row r="26" customFormat="false" ht="15" hidden="false" customHeight="false" outlineLevel="0" collapsed="false">
      <c r="A26" s="26" t="s">
        <v>1079</v>
      </c>
      <c r="B26" s="19" t="s">
        <v>195</v>
      </c>
    </row>
    <row r="27" customFormat="false" ht="15" hidden="false" customHeight="false" outlineLevel="0" collapsed="false">
      <c r="A27" s="26" t="s">
        <v>1080</v>
      </c>
      <c r="B27" s="19" t="s">
        <v>198</v>
      </c>
    </row>
    <row r="28" customFormat="false" ht="15" hidden="false" customHeight="false" outlineLevel="0" collapsed="false">
      <c r="A28" s="26" t="s">
        <v>1081</v>
      </c>
      <c r="B28" s="19" t="s">
        <v>201</v>
      </c>
    </row>
    <row r="29" customFormat="false" ht="15" hidden="false" customHeight="false" outlineLevel="0" collapsed="false">
      <c r="A29" s="26" t="s">
        <v>1082</v>
      </c>
      <c r="B29" s="19" t="s">
        <v>204</v>
      </c>
    </row>
    <row r="30" customFormat="false" ht="15" hidden="false" customHeight="false" outlineLevel="0" collapsed="false">
      <c r="A30" s="26" t="s">
        <v>1083</v>
      </c>
      <c r="B30" s="19" t="s">
        <v>207</v>
      </c>
    </row>
    <row r="31" customFormat="false" ht="15" hidden="false" customHeight="false" outlineLevel="0" collapsed="false">
      <c r="A31" s="26" t="s">
        <v>1084</v>
      </c>
      <c r="B31" s="19" t="s">
        <v>210</v>
      </c>
    </row>
    <row r="32" customFormat="false" ht="15" hidden="false" customHeight="false" outlineLevel="0" collapsed="false">
      <c r="A32" s="26" t="s">
        <v>1085</v>
      </c>
      <c r="B32" s="19" t="s">
        <v>213</v>
      </c>
    </row>
    <row r="33" customFormat="false" ht="15" hidden="false" customHeight="false" outlineLevel="0" collapsed="false">
      <c r="A33" s="26" t="s">
        <v>1086</v>
      </c>
      <c r="B33" s="19" t="s">
        <v>216</v>
      </c>
    </row>
    <row r="34" customFormat="false" ht="15" hidden="false" customHeight="false" outlineLevel="0" collapsed="false">
      <c r="A34" s="26" t="s">
        <v>1087</v>
      </c>
      <c r="B34" s="19" t="s">
        <v>219</v>
      </c>
    </row>
    <row r="35" customFormat="false" ht="15" hidden="false" customHeight="false" outlineLevel="0" collapsed="false">
      <c r="A35" s="26" t="s">
        <v>1088</v>
      </c>
      <c r="B35" s="19" t="s">
        <v>222</v>
      </c>
    </row>
    <row r="36" customFormat="false" ht="15" hidden="false" customHeight="false" outlineLevel="0" collapsed="false">
      <c r="A36" s="26" t="s">
        <v>1089</v>
      </c>
      <c r="B36" s="19" t="s">
        <v>225</v>
      </c>
    </row>
    <row r="37" customFormat="false" ht="15" hidden="false" customHeight="false" outlineLevel="0" collapsed="false">
      <c r="A37" s="26" t="s">
        <v>1090</v>
      </c>
      <c r="B37" s="19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1092</v>
      </c>
    </row>
    <row r="2" customFormat="false" ht="15" hidden="false" customHeight="false" outlineLevel="0" collapsed="false">
      <c r="A2" s="2" t="s">
        <v>1093</v>
      </c>
    </row>
    <row r="4" customFormat="false" ht="15" hidden="false" customHeight="false" outlineLevel="0" collapsed="false">
      <c r="A4" s="21" t="s">
        <v>15</v>
      </c>
      <c r="B4" s="21" t="s">
        <v>16</v>
      </c>
      <c r="C4" s="21" t="s">
        <v>9</v>
      </c>
      <c r="D4" s="21" t="s">
        <v>10</v>
      </c>
      <c r="E4" s="21" t="s">
        <v>11</v>
      </c>
      <c r="F4" s="21" t="s">
        <v>12</v>
      </c>
      <c r="G4" s="21" t="s">
        <v>5</v>
      </c>
      <c r="H4" s="21" t="s">
        <v>312</v>
      </c>
      <c r="I4" s="21" t="s">
        <v>14</v>
      </c>
      <c r="J4" s="21" t="s">
        <v>243</v>
      </c>
      <c r="K4" s="21" t="s">
        <v>1094</v>
      </c>
    </row>
    <row r="5" customFormat="false" ht="15" hidden="false" customHeight="false" outlineLevel="0" collapsed="false">
      <c r="A5" s="27" t="s">
        <v>1095</v>
      </c>
      <c r="B5" s="28" t="s">
        <v>38</v>
      </c>
      <c r="C5" s="28" t="s">
        <v>24</v>
      </c>
      <c r="D5" s="28" t="s">
        <v>35</v>
      </c>
      <c r="E5" s="28" t="s">
        <v>31</v>
      </c>
      <c r="F5" s="28" t="n">
        <v>2025</v>
      </c>
      <c r="G5" s="28" t="s">
        <v>23</v>
      </c>
      <c r="H5" s="29" t="n">
        <v>789</v>
      </c>
      <c r="I5" s="28" t="s">
        <v>1096</v>
      </c>
      <c r="J5" s="28" t="n">
        <v>1947</v>
      </c>
      <c r="K5" s="30" t="s">
        <v>1097</v>
      </c>
    </row>
    <row r="6" customFormat="false" ht="15" hidden="false" customHeight="false" outlineLevel="0" collapsed="false">
      <c r="A6" s="27" t="s">
        <v>1095</v>
      </c>
      <c r="B6" s="28" t="s">
        <v>32</v>
      </c>
      <c r="C6" s="28" t="s">
        <v>24</v>
      </c>
      <c r="D6" s="28" t="s">
        <v>25</v>
      </c>
      <c r="E6" s="28" t="s">
        <v>31</v>
      </c>
      <c r="F6" s="28" t="n">
        <v>2025</v>
      </c>
      <c r="G6" s="28" t="s">
        <v>23</v>
      </c>
      <c r="H6" s="29" t="n">
        <v>789</v>
      </c>
      <c r="I6" s="28" t="s">
        <v>1096</v>
      </c>
      <c r="J6" s="28" t="n">
        <v>1947</v>
      </c>
      <c r="K6" s="30" t="s">
        <v>1097</v>
      </c>
    </row>
    <row r="7" customFormat="false" ht="15" hidden="false" customHeight="false" outlineLevel="0" collapsed="false">
      <c r="A7" s="27" t="s">
        <v>1095</v>
      </c>
      <c r="B7" s="28" t="s">
        <v>28</v>
      </c>
      <c r="C7" s="28" t="s">
        <v>24</v>
      </c>
      <c r="D7" s="28" t="s">
        <v>25</v>
      </c>
      <c r="E7" s="28" t="s">
        <v>26</v>
      </c>
      <c r="F7" s="28" t="n">
        <v>2025</v>
      </c>
      <c r="G7" s="28" t="s">
        <v>23</v>
      </c>
      <c r="H7" s="29" t="n">
        <v>789</v>
      </c>
      <c r="I7" s="28" t="s">
        <v>1096</v>
      </c>
      <c r="J7" s="28" t="n">
        <v>1947</v>
      </c>
      <c r="K7" s="30" t="s">
        <v>1097</v>
      </c>
    </row>
    <row r="8" customFormat="false" ht="15" hidden="false" customHeight="false" outlineLevel="0" collapsed="false">
      <c r="A8" s="27" t="s">
        <v>1095</v>
      </c>
      <c r="B8" s="28" t="s">
        <v>49</v>
      </c>
      <c r="C8" s="28" t="s">
        <v>40</v>
      </c>
      <c r="D8" s="28" t="s">
        <v>48</v>
      </c>
      <c r="E8" s="28" t="s">
        <v>26</v>
      </c>
      <c r="F8" s="28" t="n">
        <v>2025</v>
      </c>
      <c r="G8" s="28" t="s">
        <v>23</v>
      </c>
      <c r="H8" s="29" t="n">
        <v>789</v>
      </c>
      <c r="I8" s="28" t="s">
        <v>1096</v>
      </c>
      <c r="J8" s="28" t="n">
        <v>1947</v>
      </c>
      <c r="K8" s="30" t="s">
        <v>1097</v>
      </c>
    </row>
    <row r="9" customFormat="false" ht="15" hidden="false" customHeight="false" outlineLevel="0" collapsed="false">
      <c r="A9" s="27" t="s">
        <v>1095</v>
      </c>
      <c r="B9" s="28" t="s">
        <v>1098</v>
      </c>
      <c r="C9" s="28" t="s">
        <v>60</v>
      </c>
      <c r="D9" s="28" t="s">
        <v>64</v>
      </c>
      <c r="E9" s="28" t="s">
        <v>1099</v>
      </c>
      <c r="F9" s="28" t="n">
        <v>2025</v>
      </c>
      <c r="G9" s="28" t="s">
        <v>23</v>
      </c>
      <c r="H9" s="29" t="n">
        <v>789</v>
      </c>
      <c r="I9" s="28" t="s">
        <v>1096</v>
      </c>
      <c r="J9" s="28" t="n">
        <v>1947</v>
      </c>
      <c r="K9" s="28" t="s">
        <v>1100</v>
      </c>
    </row>
    <row r="10" customFormat="false" ht="15" hidden="false" customHeight="false" outlineLevel="0" collapsed="false">
      <c r="A10" s="27" t="s">
        <v>1095</v>
      </c>
      <c r="B10" s="28" t="s">
        <v>1101</v>
      </c>
      <c r="C10" s="28" t="s">
        <v>53</v>
      </c>
      <c r="D10" s="28" t="s">
        <v>57</v>
      </c>
      <c r="E10" s="28" t="s">
        <v>1099</v>
      </c>
      <c r="F10" s="28" t="n">
        <v>2025</v>
      </c>
      <c r="G10" s="28" t="s">
        <v>23</v>
      </c>
      <c r="H10" s="29" t="n">
        <v>789</v>
      </c>
      <c r="I10" s="28" t="s">
        <v>1096</v>
      </c>
      <c r="J10" s="28" t="n">
        <v>1947</v>
      </c>
      <c r="K10" s="28" t="s">
        <v>1100</v>
      </c>
    </row>
    <row r="11" customFormat="false" ht="15" hidden="false" customHeight="false" outlineLevel="0" collapsed="false">
      <c r="A11" s="27" t="s">
        <v>1095</v>
      </c>
      <c r="B11" s="28" t="s">
        <v>51</v>
      </c>
      <c r="C11" s="28" t="s">
        <v>40</v>
      </c>
      <c r="D11" s="28" t="s">
        <v>48</v>
      </c>
      <c r="E11" s="28" t="s">
        <v>44</v>
      </c>
      <c r="F11" s="28" t="n">
        <v>2025</v>
      </c>
      <c r="G11" s="28" t="s">
        <v>23</v>
      </c>
      <c r="H11" s="29" t="n">
        <v>789</v>
      </c>
      <c r="I11" s="28" t="s">
        <v>1096</v>
      </c>
      <c r="J11" s="28" t="n">
        <v>1947</v>
      </c>
      <c r="K11" s="30" t="s">
        <v>1097</v>
      </c>
    </row>
    <row r="12" customFormat="false" ht="15" hidden="false" customHeight="false" outlineLevel="0" collapsed="false">
      <c r="A12" s="27" t="s">
        <v>1095</v>
      </c>
      <c r="B12" s="28" t="s">
        <v>45</v>
      </c>
      <c r="C12" s="28" t="s">
        <v>40</v>
      </c>
      <c r="D12" s="28" t="s">
        <v>41</v>
      </c>
      <c r="E12" s="28" t="s">
        <v>44</v>
      </c>
      <c r="F12" s="28" t="n">
        <v>2025</v>
      </c>
      <c r="G12" s="28" t="s">
        <v>23</v>
      </c>
      <c r="H12" s="29" t="n">
        <v>789</v>
      </c>
      <c r="I12" s="28" t="s">
        <v>1096</v>
      </c>
      <c r="J12" s="28" t="n">
        <v>1947</v>
      </c>
      <c r="K12" s="30" t="s">
        <v>1097</v>
      </c>
    </row>
    <row r="13" customFormat="false" ht="15" hidden="false" customHeight="false" outlineLevel="0" collapsed="false">
      <c r="A13" s="27" t="s">
        <v>1095</v>
      </c>
      <c r="B13" s="28" t="s">
        <v>1102</v>
      </c>
      <c r="C13" s="28" t="s">
        <v>60</v>
      </c>
      <c r="D13" s="28" t="s">
        <v>61</v>
      </c>
      <c r="E13" s="28" t="s">
        <v>1103</v>
      </c>
      <c r="F13" s="28" t="n">
        <v>2025</v>
      </c>
      <c r="G13" s="28" t="s">
        <v>23</v>
      </c>
      <c r="H13" s="29" t="n">
        <v>789</v>
      </c>
      <c r="I13" s="28" t="s">
        <v>1096</v>
      </c>
      <c r="J13" s="28" t="n">
        <v>1947</v>
      </c>
      <c r="K13" s="28" t="s">
        <v>1104</v>
      </c>
    </row>
    <row r="14" customFormat="false" ht="15" hidden="false" customHeight="false" outlineLevel="0" collapsed="false">
      <c r="A14" s="27" t="s">
        <v>1095</v>
      </c>
      <c r="B14" s="28" t="s">
        <v>1105</v>
      </c>
      <c r="C14" s="28" t="s">
        <v>60</v>
      </c>
      <c r="D14" s="28" t="s">
        <v>64</v>
      </c>
      <c r="E14" s="28" t="s">
        <v>1103</v>
      </c>
      <c r="F14" s="28" t="n">
        <v>2025</v>
      </c>
      <c r="G14" s="28" t="s">
        <v>23</v>
      </c>
      <c r="H14" s="29" t="n">
        <v>789</v>
      </c>
      <c r="I14" s="28" t="s">
        <v>1096</v>
      </c>
      <c r="J14" s="28" t="n">
        <v>1947</v>
      </c>
      <c r="K14" s="28" t="s">
        <v>1104</v>
      </c>
    </row>
    <row r="15" customFormat="false" ht="15" hidden="false" customHeight="false" outlineLevel="0" collapsed="false">
      <c r="A15" s="27" t="s">
        <v>1095</v>
      </c>
      <c r="B15" s="28" t="s">
        <v>1106</v>
      </c>
      <c r="C15" s="28" t="s">
        <v>53</v>
      </c>
      <c r="D15" s="28" t="s">
        <v>57</v>
      </c>
      <c r="E15" s="28" t="s">
        <v>1103</v>
      </c>
      <c r="F15" s="28" t="n">
        <v>2025</v>
      </c>
      <c r="G15" s="28" t="s">
        <v>23</v>
      </c>
      <c r="H15" s="29" t="n">
        <v>789</v>
      </c>
      <c r="I15" s="28" t="s">
        <v>1096</v>
      </c>
      <c r="J15" s="28" t="n">
        <v>1947</v>
      </c>
      <c r="K15" s="28" t="s">
        <v>1104</v>
      </c>
    </row>
    <row r="16" customFormat="false" ht="15" hidden="false" customHeight="false" outlineLevel="0" collapsed="false">
      <c r="A16" s="27" t="s">
        <v>1107</v>
      </c>
      <c r="B16" s="28" t="s">
        <v>1108</v>
      </c>
      <c r="C16" s="28" t="s">
        <v>40</v>
      </c>
      <c r="D16" s="28" t="s">
        <v>48</v>
      </c>
      <c r="E16" s="28" t="s">
        <v>26</v>
      </c>
      <c r="F16" s="28" t="n">
        <v>2025</v>
      </c>
      <c r="G16" s="28" t="s">
        <v>23</v>
      </c>
      <c r="H16" s="29" t="n">
        <v>879</v>
      </c>
      <c r="I16" s="28" t="s">
        <v>1096</v>
      </c>
      <c r="J16" s="28" t="n">
        <v>791</v>
      </c>
      <c r="K16" s="28" t="s">
        <v>1109</v>
      </c>
    </row>
    <row r="17" customFormat="false" ht="15" hidden="false" customHeight="false" outlineLevel="0" collapsed="false">
      <c r="A17" s="27" t="s">
        <v>1107</v>
      </c>
      <c r="B17" s="28" t="s">
        <v>42</v>
      </c>
      <c r="C17" s="28" t="s">
        <v>40</v>
      </c>
      <c r="D17" s="28" t="s">
        <v>41</v>
      </c>
      <c r="E17" s="28" t="s">
        <v>26</v>
      </c>
      <c r="F17" s="28" t="n">
        <v>2025</v>
      </c>
      <c r="G17" s="28" t="s">
        <v>23</v>
      </c>
      <c r="H17" s="29" t="n">
        <v>879</v>
      </c>
      <c r="I17" s="28" t="s">
        <v>1096</v>
      </c>
      <c r="J17" s="28" t="n">
        <v>791</v>
      </c>
      <c r="K17" s="30" t="s">
        <v>1097</v>
      </c>
    </row>
    <row r="18" customFormat="false" ht="15" hidden="false" customHeight="false" outlineLevel="0" collapsed="false">
      <c r="A18" s="27" t="s">
        <v>1107</v>
      </c>
      <c r="B18" s="28" t="s">
        <v>1110</v>
      </c>
      <c r="C18" s="28" t="s">
        <v>40</v>
      </c>
      <c r="D18" s="28" t="s">
        <v>48</v>
      </c>
      <c r="E18" s="28" t="s">
        <v>44</v>
      </c>
      <c r="F18" s="28" t="n">
        <v>2025</v>
      </c>
      <c r="G18" s="28" t="s">
        <v>23</v>
      </c>
      <c r="H18" s="29" t="n">
        <v>879</v>
      </c>
      <c r="I18" s="28" t="s">
        <v>1096</v>
      </c>
      <c r="J18" s="28" t="n">
        <v>791</v>
      </c>
      <c r="K18" s="28" t="s">
        <v>1109</v>
      </c>
    </row>
    <row r="19" customFormat="false" ht="15" hidden="false" customHeight="false" outlineLevel="0" collapsed="false">
      <c r="A19" s="27" t="s">
        <v>1107</v>
      </c>
      <c r="B19" s="28" t="s">
        <v>1111</v>
      </c>
      <c r="C19" s="28" t="s">
        <v>24</v>
      </c>
      <c r="D19" s="28" t="s">
        <v>35</v>
      </c>
      <c r="E19" s="28" t="s">
        <v>31</v>
      </c>
      <c r="F19" s="28" t="n">
        <v>2025</v>
      </c>
      <c r="G19" s="28" t="s">
        <v>23</v>
      </c>
      <c r="H19" s="29" t="n">
        <v>879</v>
      </c>
      <c r="I19" s="28" t="s">
        <v>1096</v>
      </c>
      <c r="J19" s="28" t="n">
        <v>791</v>
      </c>
      <c r="K19" s="28" t="s">
        <v>1109</v>
      </c>
    </row>
    <row r="20" customFormat="false" ht="15" hidden="false" customHeight="false" outlineLevel="0" collapsed="false">
      <c r="A20" s="27" t="s">
        <v>1107</v>
      </c>
      <c r="B20" s="28" t="s">
        <v>1112</v>
      </c>
      <c r="C20" s="28" t="s">
        <v>24</v>
      </c>
      <c r="D20" s="28" t="s">
        <v>25</v>
      </c>
      <c r="E20" s="28" t="s">
        <v>31</v>
      </c>
      <c r="F20" s="28" t="n">
        <v>2025</v>
      </c>
      <c r="G20" s="28" t="s">
        <v>23</v>
      </c>
      <c r="H20" s="29" t="n">
        <v>879</v>
      </c>
      <c r="I20" s="28" t="s">
        <v>1096</v>
      </c>
      <c r="J20" s="28" t="n">
        <v>791</v>
      </c>
      <c r="K20" s="28" t="s">
        <v>1109</v>
      </c>
    </row>
    <row r="21" customFormat="false" ht="15" hidden="false" customHeight="false" outlineLevel="0" collapsed="false">
      <c r="A21" s="27" t="s">
        <v>1107</v>
      </c>
      <c r="B21" s="28" t="s">
        <v>36</v>
      </c>
      <c r="C21" s="28" t="s">
        <v>24</v>
      </c>
      <c r="D21" s="28" t="s">
        <v>35</v>
      </c>
      <c r="E21" s="28" t="s">
        <v>26</v>
      </c>
      <c r="F21" s="28" t="n">
        <v>2025</v>
      </c>
      <c r="G21" s="28" t="s">
        <v>23</v>
      </c>
      <c r="H21" s="29" t="n">
        <v>879</v>
      </c>
      <c r="I21" s="28" t="s">
        <v>1096</v>
      </c>
      <c r="J21" s="28" t="n">
        <v>791</v>
      </c>
      <c r="K21" s="30" t="s">
        <v>1097</v>
      </c>
    </row>
    <row r="22" customFormat="false" ht="15" hidden="false" customHeight="false" outlineLevel="0" collapsed="false">
      <c r="A22" s="27" t="s">
        <v>1107</v>
      </c>
      <c r="B22" s="28" t="s">
        <v>1113</v>
      </c>
      <c r="C22" s="28" t="s">
        <v>24</v>
      </c>
      <c r="D22" s="28" t="s">
        <v>25</v>
      </c>
      <c r="E22" s="28" t="s">
        <v>26</v>
      </c>
      <c r="F22" s="28" t="n">
        <v>2025</v>
      </c>
      <c r="G22" s="28" t="s">
        <v>23</v>
      </c>
      <c r="H22" s="29" t="n">
        <v>879</v>
      </c>
      <c r="I22" s="28" t="s">
        <v>1096</v>
      </c>
      <c r="J22" s="28" t="n">
        <v>791</v>
      </c>
      <c r="K22" s="28" t="s">
        <v>1109</v>
      </c>
    </row>
    <row r="23" customFormat="false" ht="15" hidden="false" customHeight="false" outlineLevel="0" collapsed="false">
      <c r="A23" s="27" t="s">
        <v>1107</v>
      </c>
      <c r="B23" s="28" t="s">
        <v>55</v>
      </c>
      <c r="C23" s="28" t="s">
        <v>53</v>
      </c>
      <c r="D23" s="28" t="s">
        <v>54</v>
      </c>
      <c r="E23" s="28" t="s">
        <v>26</v>
      </c>
      <c r="F23" s="28" t="n">
        <v>2025</v>
      </c>
      <c r="G23" s="28" t="s">
        <v>23</v>
      </c>
      <c r="H23" s="29" t="n">
        <v>879</v>
      </c>
      <c r="I23" s="28" t="s">
        <v>1096</v>
      </c>
      <c r="J23" s="28" t="n">
        <v>791</v>
      </c>
      <c r="K23" s="30" t="s">
        <v>1097</v>
      </c>
    </row>
    <row r="24" customFormat="false" ht="15" hidden="false" customHeight="false" outlineLevel="0" collapsed="false">
      <c r="A24" s="27" t="s">
        <v>1107</v>
      </c>
      <c r="B24" s="28" t="s">
        <v>58</v>
      </c>
      <c r="C24" s="28" t="s">
        <v>53</v>
      </c>
      <c r="D24" s="28" t="s">
        <v>57</v>
      </c>
      <c r="E24" s="28" t="s">
        <v>26</v>
      </c>
      <c r="F24" s="28" t="n">
        <v>2025</v>
      </c>
      <c r="G24" s="28" t="s">
        <v>23</v>
      </c>
      <c r="H24" s="29" t="n">
        <v>879</v>
      </c>
      <c r="I24" s="28" t="s">
        <v>1096</v>
      </c>
      <c r="J24" s="28" t="n">
        <v>791</v>
      </c>
      <c r="K24" s="30" t="s">
        <v>1097</v>
      </c>
    </row>
    <row r="25" customFormat="false" ht="15" hidden="false" customHeight="false" outlineLevel="0" collapsed="false">
      <c r="A25" s="27" t="s">
        <v>1107</v>
      </c>
      <c r="B25" s="28" t="s">
        <v>62</v>
      </c>
      <c r="C25" s="28" t="s">
        <v>60</v>
      </c>
      <c r="D25" s="28" t="s">
        <v>61</v>
      </c>
      <c r="E25" s="28" t="s">
        <v>26</v>
      </c>
      <c r="F25" s="28" t="n">
        <v>2025</v>
      </c>
      <c r="G25" s="28" t="s">
        <v>23</v>
      </c>
      <c r="H25" s="29" t="n">
        <v>879</v>
      </c>
      <c r="I25" s="28" t="s">
        <v>1096</v>
      </c>
      <c r="J25" s="28" t="n">
        <v>791</v>
      </c>
      <c r="K25" s="30" t="s">
        <v>1097</v>
      </c>
    </row>
    <row r="26" customFormat="false" ht="15" hidden="false" customHeight="false" outlineLevel="0" collapsed="false">
      <c r="A26" s="27" t="s">
        <v>1107</v>
      </c>
      <c r="B26" s="28" t="s">
        <v>65</v>
      </c>
      <c r="C26" s="28" t="s">
        <v>60</v>
      </c>
      <c r="D26" s="28" t="s">
        <v>64</v>
      </c>
      <c r="E26" s="28" t="s">
        <v>26</v>
      </c>
      <c r="F26" s="28" t="n">
        <v>2025</v>
      </c>
      <c r="G26" s="28" t="s">
        <v>23</v>
      </c>
      <c r="H26" s="29" t="n">
        <v>879</v>
      </c>
      <c r="I26" s="28" t="s">
        <v>1096</v>
      </c>
      <c r="J26" s="28" t="n">
        <v>791</v>
      </c>
      <c r="K26" s="30" t="s">
        <v>1097</v>
      </c>
    </row>
    <row r="27" customFormat="false" ht="15" hidden="false" customHeight="false" outlineLevel="0" collapsed="false">
      <c r="A27" s="27" t="s">
        <v>1107</v>
      </c>
      <c r="B27" s="28" t="s">
        <v>69</v>
      </c>
      <c r="C27" s="28" t="s">
        <v>67</v>
      </c>
      <c r="D27" s="28" t="s">
        <v>68</v>
      </c>
      <c r="E27" s="28" t="s">
        <v>26</v>
      </c>
      <c r="F27" s="28" t="n">
        <v>2025</v>
      </c>
      <c r="G27" s="28" t="s">
        <v>23</v>
      </c>
      <c r="H27" s="29" t="n">
        <v>879</v>
      </c>
      <c r="I27" s="28" t="s">
        <v>1096</v>
      </c>
      <c r="J27" s="28" t="n">
        <v>791</v>
      </c>
      <c r="K27" s="30" t="s">
        <v>1097</v>
      </c>
    </row>
    <row r="28" customFormat="false" ht="15" hidden="false" customHeight="false" outlineLevel="0" collapsed="false">
      <c r="A28" s="27" t="s">
        <v>1107</v>
      </c>
      <c r="B28" s="28" t="s">
        <v>72</v>
      </c>
      <c r="C28" s="28" t="s">
        <v>67</v>
      </c>
      <c r="D28" s="28" t="s">
        <v>71</v>
      </c>
      <c r="E28" s="28" t="s">
        <v>26</v>
      </c>
      <c r="F28" s="28" t="n">
        <v>2025</v>
      </c>
      <c r="G28" s="28" t="s">
        <v>23</v>
      </c>
      <c r="H28" s="29" t="n">
        <v>879</v>
      </c>
      <c r="I28" s="28" t="s">
        <v>1096</v>
      </c>
      <c r="J28" s="28" t="n">
        <v>791</v>
      </c>
      <c r="K28" s="30" t="s">
        <v>1097</v>
      </c>
    </row>
    <row r="29" customFormat="false" ht="15" hidden="false" customHeight="false" outlineLevel="0" collapsed="false">
      <c r="A29" s="27" t="s">
        <v>1107</v>
      </c>
      <c r="B29" s="28" t="s">
        <v>81</v>
      </c>
      <c r="C29" s="28" t="s">
        <v>74</v>
      </c>
      <c r="D29" s="28" t="s">
        <v>80</v>
      </c>
      <c r="E29" s="28" t="s">
        <v>76</v>
      </c>
      <c r="F29" s="28" t="n">
        <v>2025</v>
      </c>
      <c r="G29" s="28" t="s">
        <v>23</v>
      </c>
      <c r="H29" s="29" t="n">
        <v>879</v>
      </c>
      <c r="I29" s="28" t="s">
        <v>1096</v>
      </c>
      <c r="J29" s="28" t="n">
        <v>791</v>
      </c>
      <c r="K29" s="30" t="s">
        <v>1097</v>
      </c>
    </row>
    <row r="30" customFormat="false" ht="15" hidden="false" customHeight="false" outlineLevel="0" collapsed="false">
      <c r="A30" s="27" t="s">
        <v>1107</v>
      </c>
      <c r="B30" s="28" t="s">
        <v>77</v>
      </c>
      <c r="C30" s="28" t="s">
        <v>74</v>
      </c>
      <c r="D30" s="28" t="s">
        <v>75</v>
      </c>
      <c r="E30" s="28" t="s">
        <v>76</v>
      </c>
      <c r="F30" s="28" t="n">
        <v>2025</v>
      </c>
      <c r="G30" s="28" t="s">
        <v>23</v>
      </c>
      <c r="H30" s="29" t="n">
        <v>879</v>
      </c>
      <c r="I30" s="28" t="s">
        <v>1096</v>
      </c>
      <c r="J30" s="28" t="n">
        <v>791</v>
      </c>
      <c r="K30" s="30" t="s">
        <v>1097</v>
      </c>
    </row>
    <row r="31" customFormat="false" ht="15" hidden="false" customHeight="false" outlineLevel="0" collapsed="false">
      <c r="A31" s="27" t="s">
        <v>1107</v>
      </c>
      <c r="B31" s="28" t="s">
        <v>1114</v>
      </c>
      <c r="C31" s="28" t="s">
        <v>60</v>
      </c>
      <c r="D31" s="28" t="s">
        <v>61</v>
      </c>
      <c r="E31" s="28" t="s">
        <v>1103</v>
      </c>
      <c r="F31" s="28" t="n">
        <v>2025</v>
      </c>
      <c r="G31" s="28" t="s">
        <v>23</v>
      </c>
      <c r="H31" s="29" t="n">
        <v>879</v>
      </c>
      <c r="I31" s="28" t="s">
        <v>1096</v>
      </c>
      <c r="J31" s="28" t="n">
        <v>791</v>
      </c>
      <c r="K31" s="28" t="s">
        <v>1104</v>
      </c>
    </row>
    <row r="32" customFormat="false" ht="15" hidden="false" customHeight="false" outlineLevel="0" collapsed="false">
      <c r="A32" s="27" t="s">
        <v>1107</v>
      </c>
      <c r="B32" s="28" t="s">
        <v>1115</v>
      </c>
      <c r="C32" s="28" t="s">
        <v>53</v>
      </c>
      <c r="D32" s="28" t="s">
        <v>54</v>
      </c>
      <c r="E32" s="28" t="s">
        <v>1103</v>
      </c>
      <c r="F32" s="28" t="n">
        <v>2025</v>
      </c>
      <c r="G32" s="28" t="s">
        <v>23</v>
      </c>
      <c r="H32" s="29" t="n">
        <v>879</v>
      </c>
      <c r="I32" s="28" t="s">
        <v>1096</v>
      </c>
      <c r="J32" s="28" t="n">
        <v>791</v>
      </c>
      <c r="K32" s="28" t="s">
        <v>1104</v>
      </c>
    </row>
    <row r="33" customFormat="false" ht="15" hidden="false" customHeight="false" outlineLevel="0" collapsed="false">
      <c r="A33" s="27" t="s">
        <v>1107</v>
      </c>
      <c r="B33" s="28" t="s">
        <v>1116</v>
      </c>
      <c r="C33" s="28" t="s">
        <v>53</v>
      </c>
      <c r="D33" s="28" t="s">
        <v>57</v>
      </c>
      <c r="E33" s="28" t="s">
        <v>1103</v>
      </c>
      <c r="F33" s="28" t="n">
        <v>2025</v>
      </c>
      <c r="G33" s="28" t="s">
        <v>23</v>
      </c>
      <c r="H33" s="29" t="n">
        <v>879</v>
      </c>
      <c r="I33" s="28" t="s">
        <v>1096</v>
      </c>
      <c r="J33" s="28" t="n">
        <v>791</v>
      </c>
      <c r="K33" s="28" t="s">
        <v>1104</v>
      </c>
    </row>
    <row r="34" customFormat="false" ht="15" hidden="false" customHeight="false" outlineLevel="0" collapsed="false">
      <c r="A34" s="27" t="s">
        <v>1107</v>
      </c>
      <c r="B34" s="28" t="s">
        <v>1117</v>
      </c>
      <c r="C34" s="28" t="s">
        <v>60</v>
      </c>
      <c r="D34" s="28" t="s">
        <v>64</v>
      </c>
      <c r="E34" s="28" t="s">
        <v>1103</v>
      </c>
      <c r="F34" s="28" t="n">
        <v>2025</v>
      </c>
      <c r="G34" s="28" t="s">
        <v>23</v>
      </c>
      <c r="H34" s="29" t="n">
        <v>879</v>
      </c>
      <c r="I34" s="28" t="s">
        <v>1096</v>
      </c>
      <c r="J34" s="28" t="n">
        <v>791</v>
      </c>
      <c r="K34" s="28" t="s">
        <v>1104</v>
      </c>
    </row>
    <row r="35" customFormat="false" ht="15" hidden="false" customHeight="false" outlineLevel="0" collapsed="false">
      <c r="A35" s="27" t="s">
        <v>1118</v>
      </c>
      <c r="B35" s="28" t="s">
        <v>88</v>
      </c>
      <c r="C35" s="28" t="s">
        <v>84</v>
      </c>
      <c r="D35" s="28" t="s">
        <v>48</v>
      </c>
      <c r="E35" s="28" t="s">
        <v>26</v>
      </c>
      <c r="F35" s="28" t="n">
        <v>2026</v>
      </c>
      <c r="G35" s="28" t="s">
        <v>23</v>
      </c>
      <c r="H35" s="29" t="n">
        <v>1489</v>
      </c>
      <c r="I35" s="28" t="s">
        <v>1119</v>
      </c>
      <c r="J35" s="28" t="n">
        <v>45</v>
      </c>
      <c r="K35" s="30" t="s">
        <v>1097</v>
      </c>
    </row>
    <row r="36" customFormat="false" ht="15" hidden="false" customHeight="false" outlineLevel="0" collapsed="false">
      <c r="A36" s="27" t="s">
        <v>1118</v>
      </c>
      <c r="B36" s="28" t="s">
        <v>85</v>
      </c>
      <c r="C36" s="28" t="s">
        <v>84</v>
      </c>
      <c r="D36" s="28" t="s">
        <v>41</v>
      </c>
      <c r="E36" s="28" t="s">
        <v>26</v>
      </c>
      <c r="F36" s="28" t="n">
        <v>2026</v>
      </c>
      <c r="G36" s="28" t="s">
        <v>23</v>
      </c>
      <c r="H36" s="29" t="n">
        <v>1489</v>
      </c>
      <c r="I36" s="28" t="s">
        <v>1119</v>
      </c>
      <c r="J36" s="28" t="n">
        <v>45</v>
      </c>
      <c r="K36" s="30" t="s">
        <v>1097</v>
      </c>
    </row>
    <row r="37" customFormat="false" ht="15" hidden="false" customHeight="false" outlineLevel="0" collapsed="false">
      <c r="A37" s="27" t="s">
        <v>1120</v>
      </c>
      <c r="B37" s="28" t="s">
        <v>91</v>
      </c>
      <c r="C37" s="28" t="s">
        <v>90</v>
      </c>
      <c r="D37" s="28" t="s">
        <v>54</v>
      </c>
      <c r="E37" s="28" t="s">
        <v>26</v>
      </c>
      <c r="F37" s="28" t="n">
        <v>2026</v>
      </c>
      <c r="G37" s="28" t="s">
        <v>23</v>
      </c>
      <c r="H37" s="29" t="n">
        <v>1489</v>
      </c>
      <c r="I37" s="28" t="s">
        <v>1119</v>
      </c>
      <c r="J37" s="28" t="n">
        <v>31</v>
      </c>
      <c r="K37" s="30" t="s">
        <v>1097</v>
      </c>
    </row>
    <row r="38" customFormat="false" ht="15" hidden="false" customHeight="false" outlineLevel="0" collapsed="false">
      <c r="A38" s="27" t="s">
        <v>1120</v>
      </c>
      <c r="B38" s="28" t="s">
        <v>93</v>
      </c>
      <c r="C38" s="28" t="s">
        <v>90</v>
      </c>
      <c r="D38" s="28" t="s">
        <v>57</v>
      </c>
      <c r="E38" s="28" t="s">
        <v>26</v>
      </c>
      <c r="F38" s="28" t="n">
        <v>2026</v>
      </c>
      <c r="G38" s="28" t="s">
        <v>23</v>
      </c>
      <c r="H38" s="29" t="n">
        <v>1489</v>
      </c>
      <c r="I38" s="28" t="s">
        <v>1119</v>
      </c>
      <c r="J38" s="28" t="n">
        <v>31</v>
      </c>
      <c r="K38" s="30" t="s">
        <v>1097</v>
      </c>
    </row>
    <row r="39" customFormat="false" ht="15" hidden="false" customHeight="false" outlineLevel="0" collapsed="false">
      <c r="A39" s="27" t="s">
        <v>1121</v>
      </c>
      <c r="B39" s="28" t="s">
        <v>99</v>
      </c>
      <c r="C39" s="28" t="s">
        <v>97</v>
      </c>
      <c r="D39" s="28" t="s">
        <v>35</v>
      </c>
      <c r="E39" s="28" t="s">
        <v>98</v>
      </c>
      <c r="F39" s="28" t="n">
        <v>2023</v>
      </c>
      <c r="G39" s="28" t="s">
        <v>96</v>
      </c>
      <c r="H39" s="29" t="n">
        <v>2682</v>
      </c>
      <c r="I39" s="28" t="s">
        <v>1096</v>
      </c>
      <c r="J39" s="28" t="n">
        <v>653</v>
      </c>
      <c r="K39" s="30" t="s">
        <v>1097</v>
      </c>
    </row>
    <row r="40" customFormat="false" ht="15" hidden="false" customHeight="false" outlineLevel="0" collapsed="false">
      <c r="A40" s="27" t="s">
        <v>1121</v>
      </c>
      <c r="B40" s="28" t="s">
        <v>107</v>
      </c>
      <c r="C40" s="28" t="s">
        <v>102</v>
      </c>
      <c r="D40" s="28" t="s">
        <v>35</v>
      </c>
      <c r="E40" s="28" t="s">
        <v>26</v>
      </c>
      <c r="F40" s="28" t="n">
        <v>2024</v>
      </c>
      <c r="G40" s="28" t="s">
        <v>96</v>
      </c>
      <c r="H40" s="29" t="n">
        <v>2659</v>
      </c>
      <c r="I40" s="28" t="s">
        <v>1096</v>
      </c>
      <c r="J40" s="28" t="n">
        <v>653</v>
      </c>
      <c r="K40" s="28" t="s">
        <v>1122</v>
      </c>
    </row>
    <row r="41" customFormat="false" ht="15" hidden="false" customHeight="false" outlineLevel="0" collapsed="false">
      <c r="A41" s="27" t="s">
        <v>1121</v>
      </c>
      <c r="B41" s="28" t="s">
        <v>104</v>
      </c>
      <c r="C41" s="28" t="s">
        <v>102</v>
      </c>
      <c r="D41" s="28" t="s">
        <v>103</v>
      </c>
      <c r="E41" s="28" t="s">
        <v>26</v>
      </c>
      <c r="F41" s="28" t="n">
        <v>2024</v>
      </c>
      <c r="G41" s="28" t="s">
        <v>96</v>
      </c>
      <c r="H41" s="29" t="n">
        <v>2439</v>
      </c>
      <c r="I41" s="28" t="s">
        <v>1096</v>
      </c>
      <c r="J41" s="28" t="n">
        <v>653</v>
      </c>
      <c r="K41" s="28" t="s">
        <v>1123</v>
      </c>
    </row>
    <row r="42" customFormat="false" ht="15" hidden="false" customHeight="false" outlineLevel="0" collapsed="false">
      <c r="A42" s="27" t="s">
        <v>1121</v>
      </c>
      <c r="B42" s="28" t="s">
        <v>122</v>
      </c>
      <c r="C42" s="28" t="s">
        <v>121</v>
      </c>
      <c r="D42" s="28" t="s">
        <v>41</v>
      </c>
      <c r="E42" s="28" t="s">
        <v>26</v>
      </c>
      <c r="F42" s="28" t="n">
        <v>2024</v>
      </c>
      <c r="G42" s="28" t="s">
        <v>96</v>
      </c>
      <c r="H42" s="29" t="n">
        <v>2649</v>
      </c>
      <c r="I42" s="28" t="s">
        <v>1096</v>
      </c>
      <c r="J42" s="28" t="n">
        <v>653</v>
      </c>
      <c r="K42" s="28" t="s">
        <v>1124</v>
      </c>
    </row>
    <row r="43" customFormat="false" ht="15" hidden="false" customHeight="false" outlineLevel="0" collapsed="false">
      <c r="A43" s="27" t="s">
        <v>1121</v>
      </c>
      <c r="B43" s="28" t="s">
        <v>115</v>
      </c>
      <c r="C43" s="28" t="s">
        <v>110</v>
      </c>
      <c r="D43" s="28" t="s">
        <v>48</v>
      </c>
      <c r="E43" s="28" t="s">
        <v>114</v>
      </c>
      <c r="F43" s="28" t="n">
        <v>2024</v>
      </c>
      <c r="G43" s="28" t="s">
        <v>96</v>
      </c>
      <c r="H43" s="29" t="n">
        <v>2679</v>
      </c>
      <c r="I43" s="28" t="s">
        <v>1096</v>
      </c>
      <c r="J43" s="28" t="n">
        <v>653</v>
      </c>
      <c r="K43" s="30" t="s">
        <v>1097</v>
      </c>
    </row>
    <row r="44" customFormat="false" ht="15" hidden="false" customHeight="false" outlineLevel="0" collapsed="false">
      <c r="A44" s="27" t="s">
        <v>1121</v>
      </c>
      <c r="B44" s="28" t="s">
        <v>134</v>
      </c>
      <c r="C44" s="28" t="s">
        <v>67</v>
      </c>
      <c r="D44" s="28" t="s">
        <v>71</v>
      </c>
      <c r="E44" s="28" t="s">
        <v>26</v>
      </c>
      <c r="F44" s="28" t="n">
        <v>2025</v>
      </c>
      <c r="G44" s="28" t="s">
        <v>96</v>
      </c>
      <c r="H44" s="29" t="n">
        <v>2430</v>
      </c>
      <c r="I44" s="28" t="s">
        <v>1096</v>
      </c>
      <c r="J44" s="28" t="n">
        <v>653</v>
      </c>
      <c r="K44" s="28" t="s">
        <v>1125</v>
      </c>
    </row>
    <row r="45" customFormat="false" ht="15" hidden="false" customHeight="false" outlineLevel="0" collapsed="false">
      <c r="A45" s="27" t="s">
        <v>1121</v>
      </c>
      <c r="B45" s="28" t="s">
        <v>111</v>
      </c>
      <c r="C45" s="28" t="s">
        <v>110</v>
      </c>
      <c r="D45" s="28" t="s">
        <v>48</v>
      </c>
      <c r="E45" s="28" t="s">
        <v>26</v>
      </c>
      <c r="F45" s="28" t="n">
        <v>2024</v>
      </c>
      <c r="G45" s="28" t="s">
        <v>96</v>
      </c>
      <c r="H45" s="29" t="n">
        <v>2461</v>
      </c>
      <c r="I45" s="28" t="s">
        <v>1096</v>
      </c>
      <c r="J45" s="28" t="n">
        <v>653</v>
      </c>
      <c r="K45" s="28" t="s">
        <v>1126</v>
      </c>
    </row>
    <row r="46" customFormat="false" ht="15" hidden="false" customHeight="false" outlineLevel="0" collapsed="false">
      <c r="A46" s="27" t="s">
        <v>1127</v>
      </c>
      <c r="B46" s="28" t="s">
        <v>132</v>
      </c>
      <c r="C46" s="28" t="s">
        <v>127</v>
      </c>
      <c r="D46" s="28" t="s">
        <v>64</v>
      </c>
      <c r="E46" s="28" t="s">
        <v>26</v>
      </c>
      <c r="F46" s="28" t="n">
        <v>2024</v>
      </c>
      <c r="G46" s="28" t="s">
        <v>96</v>
      </c>
      <c r="H46" s="29" t="n">
        <v>2549</v>
      </c>
      <c r="I46" s="28" t="s">
        <v>1096</v>
      </c>
      <c r="J46" s="28" t="n">
        <v>651</v>
      </c>
      <c r="K46" s="30" t="s">
        <v>1097</v>
      </c>
    </row>
    <row r="47" customFormat="false" ht="15" hidden="false" customHeight="false" outlineLevel="0" collapsed="false">
      <c r="A47" s="27" t="s">
        <v>1127</v>
      </c>
      <c r="B47" s="28" t="s">
        <v>107</v>
      </c>
      <c r="C47" s="28" t="s">
        <v>102</v>
      </c>
      <c r="D47" s="28" t="s">
        <v>35</v>
      </c>
      <c r="E47" s="28" t="s">
        <v>26</v>
      </c>
      <c r="F47" s="28" t="n">
        <v>2024</v>
      </c>
      <c r="G47" s="28" t="s">
        <v>96</v>
      </c>
      <c r="H47" s="29" t="n">
        <v>2522</v>
      </c>
      <c r="I47" s="28" t="s">
        <v>1096</v>
      </c>
      <c r="J47" s="28" t="n">
        <v>651</v>
      </c>
      <c r="K47" s="28" t="s">
        <v>1122</v>
      </c>
    </row>
    <row r="48" customFormat="false" ht="15" hidden="false" customHeight="false" outlineLevel="0" collapsed="false">
      <c r="A48" s="27" t="s">
        <v>1127</v>
      </c>
      <c r="B48" s="28" t="s">
        <v>104</v>
      </c>
      <c r="C48" s="28" t="s">
        <v>102</v>
      </c>
      <c r="D48" s="28" t="s">
        <v>103</v>
      </c>
      <c r="E48" s="28" t="s">
        <v>26</v>
      </c>
      <c r="F48" s="28" t="n">
        <v>2024</v>
      </c>
      <c r="G48" s="28" t="s">
        <v>96</v>
      </c>
      <c r="H48" s="29" t="n">
        <v>2312</v>
      </c>
      <c r="I48" s="28" t="s">
        <v>1096</v>
      </c>
      <c r="J48" s="28" t="n">
        <v>651</v>
      </c>
      <c r="K48" s="30" t="s">
        <v>1097</v>
      </c>
    </row>
    <row r="49" customFormat="false" ht="15" hidden="false" customHeight="false" outlineLevel="0" collapsed="false">
      <c r="A49" s="27" t="s">
        <v>1127</v>
      </c>
      <c r="B49" s="28" t="s">
        <v>125</v>
      </c>
      <c r="C49" s="28" t="s">
        <v>121</v>
      </c>
      <c r="D49" s="28" t="s">
        <v>57</v>
      </c>
      <c r="E49" s="28" t="s">
        <v>26</v>
      </c>
      <c r="F49" s="28" t="n">
        <v>2024</v>
      </c>
      <c r="G49" s="28" t="s">
        <v>96</v>
      </c>
      <c r="H49" s="29" t="n">
        <v>2509</v>
      </c>
      <c r="I49" s="28" t="s">
        <v>1096</v>
      </c>
      <c r="J49" s="28" t="n">
        <v>651</v>
      </c>
      <c r="K49" s="30" t="s">
        <v>1097</v>
      </c>
    </row>
    <row r="50" customFormat="false" ht="15" hidden="false" customHeight="false" outlineLevel="0" collapsed="false">
      <c r="A50" s="27" t="s">
        <v>1127</v>
      </c>
      <c r="B50" s="28" t="s">
        <v>122</v>
      </c>
      <c r="C50" s="28" t="s">
        <v>121</v>
      </c>
      <c r="D50" s="28" t="s">
        <v>41</v>
      </c>
      <c r="E50" s="28" t="s">
        <v>26</v>
      </c>
      <c r="F50" s="28" t="n">
        <v>2024</v>
      </c>
      <c r="G50" s="28" t="s">
        <v>96</v>
      </c>
      <c r="H50" s="29" t="n">
        <v>2509</v>
      </c>
      <c r="I50" s="28" t="s">
        <v>1096</v>
      </c>
      <c r="J50" s="28" t="n">
        <v>651</v>
      </c>
      <c r="K50" s="30" t="s">
        <v>1097</v>
      </c>
    </row>
    <row r="51" customFormat="false" ht="15" hidden="false" customHeight="false" outlineLevel="0" collapsed="false">
      <c r="A51" s="27" t="s">
        <v>1127</v>
      </c>
      <c r="B51" s="28" t="s">
        <v>111</v>
      </c>
      <c r="C51" s="28" t="s">
        <v>110</v>
      </c>
      <c r="D51" s="28" t="s">
        <v>48</v>
      </c>
      <c r="E51" s="28" t="s">
        <v>26</v>
      </c>
      <c r="F51" s="28" t="n">
        <v>2024</v>
      </c>
      <c r="G51" s="28" t="s">
        <v>96</v>
      </c>
      <c r="H51" s="29" t="n">
        <v>2542</v>
      </c>
      <c r="I51" s="28" t="s">
        <v>1096</v>
      </c>
      <c r="J51" s="28" t="n">
        <v>651</v>
      </c>
      <c r="K51" s="28" t="s">
        <v>1126</v>
      </c>
    </row>
    <row r="52" customFormat="false" ht="15" hidden="false" customHeight="false" outlineLevel="0" collapsed="false">
      <c r="A52" s="27" t="s">
        <v>1127</v>
      </c>
      <c r="B52" s="28" t="s">
        <v>134</v>
      </c>
      <c r="C52" s="28" t="s">
        <v>67</v>
      </c>
      <c r="D52" s="28" t="s">
        <v>71</v>
      </c>
      <c r="E52" s="28" t="s">
        <v>26</v>
      </c>
      <c r="F52" s="28" t="n">
        <v>2025</v>
      </c>
      <c r="G52" s="28" t="s">
        <v>96</v>
      </c>
      <c r="H52" s="29" t="n">
        <v>2522</v>
      </c>
      <c r="I52" s="28" t="s">
        <v>1096</v>
      </c>
      <c r="J52" s="28" t="n">
        <v>651</v>
      </c>
      <c r="K52" s="28" t="s">
        <v>1125</v>
      </c>
    </row>
    <row r="53" customFormat="false" ht="15" hidden="false" customHeight="false" outlineLevel="0" collapsed="false">
      <c r="A53" s="27" t="s">
        <v>1128</v>
      </c>
      <c r="B53" s="28" t="s">
        <v>1129</v>
      </c>
      <c r="C53" s="28" t="s">
        <v>127</v>
      </c>
      <c r="D53" s="28" t="s">
        <v>61</v>
      </c>
      <c r="E53" s="28" t="s">
        <v>1130</v>
      </c>
      <c r="F53" s="28" t="n">
        <v>2024</v>
      </c>
      <c r="G53" s="28" t="s">
        <v>96</v>
      </c>
      <c r="H53" s="29" t="n">
        <v>2092</v>
      </c>
      <c r="I53" s="28" t="s">
        <v>1131</v>
      </c>
      <c r="J53" s="28" t="n">
        <v>45</v>
      </c>
      <c r="K53" s="28" t="s">
        <v>1132</v>
      </c>
    </row>
    <row r="54" customFormat="false" ht="15" hidden="false" customHeight="false" outlineLevel="0" collapsed="false">
      <c r="A54" s="27" t="s">
        <v>1128</v>
      </c>
      <c r="B54" s="28" t="s">
        <v>1133</v>
      </c>
      <c r="C54" s="28" t="s">
        <v>127</v>
      </c>
      <c r="D54" s="28" t="s">
        <v>64</v>
      </c>
      <c r="E54" s="28" t="s">
        <v>1130</v>
      </c>
      <c r="F54" s="28" t="n">
        <v>2024</v>
      </c>
      <c r="G54" s="28" t="s">
        <v>96</v>
      </c>
      <c r="H54" s="29" t="n">
        <v>2092</v>
      </c>
      <c r="I54" s="28" t="s">
        <v>1131</v>
      </c>
      <c r="J54" s="28" t="n">
        <v>45</v>
      </c>
      <c r="K54" s="28" t="s">
        <v>1132</v>
      </c>
    </row>
    <row r="55" customFormat="false" ht="15" hidden="false" customHeight="false" outlineLevel="0" collapsed="false">
      <c r="A55" s="27" t="s">
        <v>1134</v>
      </c>
      <c r="B55" s="28" t="s">
        <v>104</v>
      </c>
      <c r="C55" s="28" t="s">
        <v>102</v>
      </c>
      <c r="D55" s="28" t="s">
        <v>103</v>
      </c>
      <c r="E55" s="28" t="s">
        <v>26</v>
      </c>
      <c r="F55" s="28" t="n">
        <v>2024</v>
      </c>
      <c r="G55" s="28" t="s">
        <v>96</v>
      </c>
      <c r="H55" s="29" t="n">
        <v>2409</v>
      </c>
      <c r="I55" s="28" t="s">
        <v>1096</v>
      </c>
      <c r="J55" s="28" t="n">
        <v>78</v>
      </c>
      <c r="K55" s="28" t="s">
        <v>1123</v>
      </c>
    </row>
    <row r="56" customFormat="false" ht="15" hidden="false" customHeight="false" outlineLevel="0" collapsed="false">
      <c r="A56" s="27" t="s">
        <v>1134</v>
      </c>
      <c r="B56" s="28" t="s">
        <v>107</v>
      </c>
      <c r="C56" s="28" t="s">
        <v>102</v>
      </c>
      <c r="D56" s="28" t="s">
        <v>35</v>
      </c>
      <c r="E56" s="28" t="s">
        <v>26</v>
      </c>
      <c r="F56" s="28" t="n">
        <v>2024</v>
      </c>
      <c r="G56" s="28" t="s">
        <v>96</v>
      </c>
      <c r="H56" s="29" t="n">
        <v>2409</v>
      </c>
      <c r="I56" s="28" t="s">
        <v>1096</v>
      </c>
      <c r="J56" s="28" t="n">
        <v>78</v>
      </c>
      <c r="K56" s="30" t="s">
        <v>1097</v>
      </c>
    </row>
    <row r="57" customFormat="false" ht="15" hidden="false" customHeight="false" outlineLevel="0" collapsed="false">
      <c r="A57" s="27" t="s">
        <v>1134</v>
      </c>
      <c r="B57" s="28" t="s">
        <v>122</v>
      </c>
      <c r="C57" s="28" t="s">
        <v>121</v>
      </c>
      <c r="D57" s="28" t="s">
        <v>41</v>
      </c>
      <c r="E57" s="28" t="s">
        <v>26</v>
      </c>
      <c r="F57" s="28" t="n">
        <v>2024</v>
      </c>
      <c r="G57" s="28" t="s">
        <v>96</v>
      </c>
      <c r="H57" s="29" t="n">
        <v>2611</v>
      </c>
      <c r="I57" s="28" t="s">
        <v>1096</v>
      </c>
      <c r="J57" s="28" t="n">
        <v>78</v>
      </c>
      <c r="K57" s="28" t="s">
        <v>1124</v>
      </c>
    </row>
    <row r="58" customFormat="false" ht="15" hidden="false" customHeight="false" outlineLevel="0" collapsed="false">
      <c r="A58" s="27" t="s">
        <v>1134</v>
      </c>
      <c r="B58" s="28" t="s">
        <v>111</v>
      </c>
      <c r="C58" s="28" t="s">
        <v>110</v>
      </c>
      <c r="D58" s="28" t="s">
        <v>48</v>
      </c>
      <c r="E58" s="28" t="s">
        <v>26</v>
      </c>
      <c r="F58" s="28" t="n">
        <v>2024</v>
      </c>
      <c r="G58" s="28" t="s">
        <v>96</v>
      </c>
      <c r="H58" s="29" t="n">
        <v>2421</v>
      </c>
      <c r="I58" s="28" t="s">
        <v>1096</v>
      </c>
      <c r="J58" s="28" t="n">
        <v>78</v>
      </c>
      <c r="K58" s="30" t="s">
        <v>1097</v>
      </c>
    </row>
    <row r="59" customFormat="false" ht="15" hidden="false" customHeight="false" outlineLevel="0" collapsed="false">
      <c r="A59" s="27" t="s">
        <v>1134</v>
      </c>
      <c r="B59" s="28" t="s">
        <v>133</v>
      </c>
      <c r="C59" s="28" t="s">
        <v>67</v>
      </c>
      <c r="D59" s="28" t="s">
        <v>68</v>
      </c>
      <c r="E59" s="28" t="s">
        <v>26</v>
      </c>
      <c r="F59" s="28" t="n">
        <v>2025</v>
      </c>
      <c r="G59" s="28" t="s">
        <v>96</v>
      </c>
      <c r="H59" s="29" t="n">
        <v>2631</v>
      </c>
      <c r="I59" s="28" t="s">
        <v>1096</v>
      </c>
      <c r="J59" s="28" t="n">
        <v>78</v>
      </c>
      <c r="K59" s="30" t="s">
        <v>1097</v>
      </c>
    </row>
    <row r="60" customFormat="false" ht="15" hidden="false" customHeight="false" outlineLevel="0" collapsed="false">
      <c r="A60" s="27" t="s">
        <v>1134</v>
      </c>
      <c r="B60" s="28" t="s">
        <v>134</v>
      </c>
      <c r="C60" s="28" t="s">
        <v>67</v>
      </c>
      <c r="D60" s="28" t="s">
        <v>71</v>
      </c>
      <c r="E60" s="28" t="s">
        <v>26</v>
      </c>
      <c r="F60" s="28" t="n">
        <v>2025</v>
      </c>
      <c r="G60" s="28" t="s">
        <v>96</v>
      </c>
      <c r="H60" s="29" t="n">
        <v>2401</v>
      </c>
      <c r="I60" s="28" t="s">
        <v>1096</v>
      </c>
      <c r="J60" s="28" t="n">
        <v>78</v>
      </c>
      <c r="K60" s="30" t="s">
        <v>1097</v>
      </c>
    </row>
    <row r="61" customFormat="false" ht="15" hidden="false" customHeight="false" outlineLevel="0" collapsed="false">
      <c r="A61" s="27" t="s">
        <v>1134</v>
      </c>
      <c r="B61" s="28" t="s">
        <v>119</v>
      </c>
      <c r="C61" s="28" t="s">
        <v>110</v>
      </c>
      <c r="D61" s="28" t="s">
        <v>118</v>
      </c>
      <c r="E61" s="28" t="s">
        <v>26</v>
      </c>
      <c r="F61" s="28" t="n">
        <v>2024</v>
      </c>
      <c r="G61" s="28" t="s">
        <v>96</v>
      </c>
      <c r="H61" s="29" t="n">
        <v>2439</v>
      </c>
      <c r="I61" s="28" t="s">
        <v>1096</v>
      </c>
      <c r="J61" s="28" t="n">
        <v>78</v>
      </c>
      <c r="K61" s="30" t="s">
        <v>1097</v>
      </c>
    </row>
  </sheetData>
  <autoFilter ref="A4:K61"/>
  <hyperlinks>
    <hyperlink ref="A5" r:id="rId1" display="1005010208916818"/>
    <hyperlink ref="A6" r:id="rId2" display="1005010208916818"/>
    <hyperlink ref="A7" r:id="rId3" display="1005010208916818"/>
    <hyperlink ref="A8" r:id="rId4" display="1005010208916818"/>
    <hyperlink ref="A9" r:id="rId5" display="1005010208916818"/>
    <hyperlink ref="A10" r:id="rId6" display="1005010208916818"/>
    <hyperlink ref="A11" r:id="rId7" display="1005010208916818"/>
    <hyperlink ref="A12" r:id="rId8" display="1005010208916818"/>
    <hyperlink ref="A13" r:id="rId9" display="1005010208916818"/>
    <hyperlink ref="A14" r:id="rId10" display="1005010208916818"/>
    <hyperlink ref="A15" r:id="rId11" display="1005010208916818"/>
    <hyperlink ref="A16" r:id="rId12" display="1005010208755468"/>
    <hyperlink ref="A17" r:id="rId13" display="1005010208755468"/>
    <hyperlink ref="A18" r:id="rId14" display="1005010208755468"/>
    <hyperlink ref="A19" r:id="rId15" display="1005010208755468"/>
    <hyperlink ref="A20" r:id="rId16" display="1005010208755468"/>
    <hyperlink ref="A21" r:id="rId17" display="1005010208755468"/>
    <hyperlink ref="A22" r:id="rId18" display="1005010208755468"/>
    <hyperlink ref="A23" r:id="rId19" display="1005010208755468"/>
    <hyperlink ref="A24" r:id="rId20" display="1005010208755468"/>
    <hyperlink ref="A25" r:id="rId21" display="1005010208755468"/>
    <hyperlink ref="A26" r:id="rId22" display="1005010208755468"/>
    <hyperlink ref="A27" r:id="rId23" display="1005010208755468"/>
    <hyperlink ref="A28" r:id="rId24" display="1005010208755468"/>
    <hyperlink ref="A29" r:id="rId25" display="1005010208755468"/>
    <hyperlink ref="A30" r:id="rId26" display="1005010208755468"/>
    <hyperlink ref="A31" r:id="rId27" display="1005010208755468"/>
    <hyperlink ref="A32" r:id="rId28" display="1005010208755468"/>
    <hyperlink ref="A33" r:id="rId29" display="1005010208755468"/>
    <hyperlink ref="A34" r:id="rId30" display="1005010208755468"/>
    <hyperlink ref="A35" r:id="rId31" display="1005013123378832"/>
    <hyperlink ref="A36" r:id="rId32" display="1005013123378832"/>
    <hyperlink ref="A37" r:id="rId33" display="1005013034982313"/>
    <hyperlink ref="A38" r:id="rId34" display="1005013034982313"/>
    <hyperlink ref="A39" r:id="rId35" display="1005009397158416"/>
    <hyperlink ref="A40" r:id="rId36" display="1005009397158416"/>
    <hyperlink ref="A41" r:id="rId37" display="1005009397158416"/>
    <hyperlink ref="A42" r:id="rId38" display="1005009397158416"/>
    <hyperlink ref="A43" r:id="rId39" display="1005009397158416"/>
    <hyperlink ref="A44" r:id="rId40" display="1005009397158416"/>
    <hyperlink ref="A45" r:id="rId41" display="1005009397158416"/>
    <hyperlink ref="A46" r:id="rId42" display="1005009081001375"/>
    <hyperlink ref="A47" r:id="rId43" display="1005009081001375"/>
    <hyperlink ref="A48" r:id="rId44" display="1005009081001375"/>
    <hyperlink ref="A49" r:id="rId45" display="1005009081001375"/>
    <hyperlink ref="A50" r:id="rId46" display="1005009081001375"/>
    <hyperlink ref="A51" r:id="rId47" display="1005009081001375"/>
    <hyperlink ref="A52" r:id="rId48" display="1005009081001375"/>
    <hyperlink ref="A53" r:id="rId49" display="1005009085028182"/>
    <hyperlink ref="A54" r:id="rId50" display="1005009085028182"/>
    <hyperlink ref="A55" r:id="rId51" display="1005010633502926"/>
    <hyperlink ref="A56" r:id="rId52" display="1005010633502926"/>
    <hyperlink ref="A57" r:id="rId53" display="1005010633502926"/>
    <hyperlink ref="A58" r:id="rId54" display="1005010633502926"/>
    <hyperlink ref="A59" r:id="rId55" display="1005010633502926"/>
    <hyperlink ref="A60" r:id="rId56" display="1005010633502926"/>
    <hyperlink ref="A61" r:id="rId57" display="10050106335029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1135</v>
      </c>
    </row>
    <row r="3" customFormat="false" ht="23.85" hidden="false" customHeight="false" outlineLevel="0" collapsed="false">
      <c r="A3" s="31" t="s">
        <v>1136</v>
      </c>
      <c r="B3" s="32" t="s">
        <v>1137</v>
      </c>
    </row>
    <row r="4" customFormat="false" ht="15" hidden="false" customHeight="false" outlineLevel="0" collapsed="false">
      <c r="A4" s="31" t="s">
        <v>1138</v>
      </c>
      <c r="B4" s="32" t="s">
        <v>1139</v>
      </c>
    </row>
    <row r="5" customFormat="false" ht="15" hidden="false" customHeight="false" outlineLevel="0" collapsed="false">
      <c r="A5" s="31" t="s">
        <v>1140</v>
      </c>
      <c r="B5" s="32" t="s">
        <v>1141</v>
      </c>
    </row>
    <row r="6" customFormat="false" ht="15" hidden="false" customHeight="false" outlineLevel="0" collapsed="false">
      <c r="A6" s="31" t="s">
        <v>1142</v>
      </c>
      <c r="B6" s="32" t="s">
        <v>1143</v>
      </c>
    </row>
    <row r="7" customFormat="false" ht="23.85" hidden="false" customHeight="false" outlineLevel="0" collapsed="false">
      <c r="A7" s="31" t="s">
        <v>1144</v>
      </c>
      <c r="B7" s="32" t="s">
        <v>1145</v>
      </c>
    </row>
    <row r="8" customFormat="false" ht="15" hidden="false" customHeight="false" outlineLevel="0" collapsed="false">
      <c r="A8" s="31" t="s">
        <v>1146</v>
      </c>
      <c r="B8" s="32" t="s">
        <v>1147</v>
      </c>
    </row>
    <row r="9" customFormat="false" ht="15" hidden="false" customHeight="false" outlineLevel="0" collapsed="false">
      <c r="A9" s="31" t="s">
        <v>164</v>
      </c>
      <c r="B9" s="32" t="s">
        <v>1148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1149</v>
      </c>
    </row>
    <row r="2" customFormat="false" ht="15" hidden="false" customHeight="false" outlineLevel="0" collapsed="false">
      <c r="A2" s="2" t="s">
        <v>1150</v>
      </c>
    </row>
    <row r="4" customFormat="false" ht="15" hidden="false" customHeight="false" outlineLevel="0" collapsed="false">
      <c r="A4" s="19" t="s">
        <v>1151</v>
      </c>
      <c r="B4" s="25" t="n">
        <v>1500</v>
      </c>
      <c r="C4" s="2" t="s">
        <v>1152</v>
      </c>
    </row>
    <row r="5" customFormat="false" ht="15" hidden="false" customHeight="false" outlineLevel="0" collapsed="false">
      <c r="A5" s="19" t="s">
        <v>1153</v>
      </c>
      <c r="B5" s="33" t="n">
        <v>2</v>
      </c>
      <c r="C5" s="2" t="s">
        <v>1154</v>
      </c>
    </row>
    <row r="6" customFormat="false" ht="15" hidden="false" customHeight="false" outlineLevel="0" collapsed="false">
      <c r="A6" s="19" t="s">
        <v>1155</v>
      </c>
      <c r="B6" s="25" t="n">
        <v>7000</v>
      </c>
      <c r="C6" s="2"/>
    </row>
    <row r="7" customFormat="false" ht="15" hidden="false" customHeight="false" outlineLevel="0" collapsed="false">
      <c r="A7" s="19" t="s">
        <v>1156</v>
      </c>
      <c r="B7" s="33" t="n">
        <v>1.6</v>
      </c>
      <c r="C7" s="2" t="s">
        <v>1157</v>
      </c>
    </row>
    <row r="8" customFormat="false" ht="15" hidden="false" customHeight="false" outlineLevel="0" collapsed="false">
      <c r="A8" s="19" t="s">
        <v>1158</v>
      </c>
      <c r="B8" s="33" t="n">
        <v>1.35</v>
      </c>
      <c r="C8" s="2" t="s">
        <v>1159</v>
      </c>
    </row>
    <row r="9" customFormat="false" ht="15" hidden="false" customHeight="false" outlineLevel="0" collapsed="false">
      <c r="A9" s="19" t="s">
        <v>1160</v>
      </c>
      <c r="B9" s="34" t="n">
        <v>0.035</v>
      </c>
      <c r="C9" s="2" t="s">
        <v>1161</v>
      </c>
    </row>
    <row r="10" customFormat="false" ht="15" hidden="false" customHeight="false" outlineLevel="0" collapsed="false">
      <c r="A10" s="19" t="s">
        <v>1162</v>
      </c>
      <c r="B10" s="34" t="n">
        <v>0.06</v>
      </c>
      <c r="C10" s="2" t="s">
        <v>1163</v>
      </c>
    </row>
    <row r="11" customFormat="false" ht="15" hidden="false" customHeight="false" outlineLevel="0" collapsed="false">
      <c r="A11" s="19" t="s">
        <v>1164</v>
      </c>
      <c r="B11" s="34" t="n">
        <v>0.05</v>
      </c>
      <c r="C11" s="2" t="s">
        <v>1165</v>
      </c>
    </row>
    <row r="12" customFormat="false" ht="15" hidden="false" customHeight="false" outlineLevel="0" collapsed="false">
      <c r="A12" s="19" t="s">
        <v>1166</v>
      </c>
      <c r="B12" s="25" t="n">
        <v>2800</v>
      </c>
      <c r="C12" s="2" t="s">
        <v>1167</v>
      </c>
    </row>
    <row r="13" customFormat="false" ht="15" hidden="false" customHeight="false" outlineLevel="0" collapsed="false">
      <c r="A13" s="19" t="s">
        <v>1168</v>
      </c>
      <c r="B13" s="33" t="n">
        <v>84.2</v>
      </c>
      <c r="C13" s="2" t="s">
        <v>1169</v>
      </c>
    </row>
    <row r="14" customFormat="false" ht="15" hidden="false" customHeight="false" outlineLevel="0" collapsed="false">
      <c r="A14" s="19" t="s">
        <v>1170</v>
      </c>
      <c r="B14" s="34" t="n">
        <v>0.1</v>
      </c>
      <c r="C14" s="2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2026-09-25T18:13:56Z</dcterms:created>
  <dc:creator>openpyxl</dc:creator>
  <dc:description/>
  <dc:language>en-US</dc:language>
  <cp:lastModifiedBy/>
  <dcterms:modified xsi:type="dcterms:W3CDTF">2026-09-25T18:13:56Z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