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Параметры" sheetId="2" state="visible" r:id="rId4"/>
    <sheet name="Что уточнить" sheetId="3" state="visible" r:id="rId5"/>
  </sheets>
  <definedNames>
    <definedName function="false" hidden="true" localSheetId="0" name="_xlnm._FilterDatabase" vbProcedure="false">Ассортимент!$A$4:$L$26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Цена из выдачи поиска aliexpress.ru 25.09.2026 (минимальная по лоту).</t>
        </r>
      </text>
    </comment>
    <comment ref="D17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18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19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0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1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2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3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4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5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  <comment ref="D26" authorId="0">
      <text>
        <r>
          <rPr>
            <sz val="10"/>
            <rFont val="Arial"/>
            <family val="2"/>
          </rPr>
          <t xml:space="preserve">Цена из выдачи aliexpress.com в $, пересчитана по курсу ЦБ 84,2 ₽/$ (лист «Параметры»).</t>
        </r>
      </text>
    </comment>
  </commentList>
</comments>
</file>

<file path=xl/sharedStrings.xml><?xml version="1.0" encoding="utf-8"?>
<sst xmlns="http://schemas.openxmlformats.org/spreadsheetml/2006/main" count="167" uniqueCount="111">
  <si>
    <t xml:space="preserve">TMFF — стартовый ассортимент</t>
  </si>
  <si>
    <t xml:space="preserve">Синим — данные AliExpress (поиск 25.09.2026), чёрным — формулы, жёлтым — заполнить. У многовариантных лотов цена — минимальная по лоту: сверь цену нужного варианта.</t>
  </si>
  <si>
    <t xml:space="preserve">Наша цена и прибыль считаются по параметрам с листа «Параметры». Прибыль — после эквайринга, налога и резерва, до рекламы. «Повтор?» подсвечивает одинаковую модель в одном масштабе.</t>
  </si>
  <si>
    <t xml:space="preserve">Раздел</t>
  </si>
  <si>
    <t xml:space="preserve">Модель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</si>
  <si>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</si>
  <si>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</si>
  <si>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</si>
  <si>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</si>
  <si>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Заказов</t>
  </si>
  <si>
    <t xml:space="preserve">Рейтинг</t>
  </si>
  <si>
    <t xml:space="preserve">Лот</t>
  </si>
  <si>
    <t xml:space="preserve">Повтор?</t>
  </si>
  <si>
    <t xml:space="preserve">Лимит 1:24</t>
  </si>
  <si>
    <t xml:space="preserve">Что уточнить</t>
  </si>
  <si>
    <t xml:space="preserve">Модели 1:43 — сезон 2025</t>
  </si>
  <si>
    <t xml:space="preserve">Ferrari SF-25</t>
  </si>
  <si>
    <t xml:space="preserve">1:43</t>
  </si>
  <si>
    <t xml:space="preserve">открыть</t>
  </si>
  <si>
    <t xml:space="preserve">Лот с вариантами SF25 / RB21 / W16 / MCL39 (по названию). Выбрать пилота (#16 Леклер или #44 Хэмилтон) и сверить цену варианта.</t>
  </si>
  <si>
    <t xml:space="preserve">Red Bull RB21</t>
  </si>
  <si>
    <t xml:space="preserve">Тот же лот. Вариант пилота уточнить. Есть отдельный лот RB21 за 789 ₽ (1 206 заказов) — запасной продавец.</t>
  </si>
  <si>
    <t xml:space="preserve">Mercedes W16</t>
  </si>
  <si>
    <t xml:space="preserve">Тот же лот. Вариант пилота (#63 Рассел / #12 Антонелли) уточнить.</t>
  </si>
  <si>
    <t xml:space="preserve">McLaren MCL39</t>
  </si>
  <si>
    <t xml:space="preserve">Тот же лот. Вариант пилота (#4 Норрис / #81 Пиастри) уточнить. В твоей ссылке выбран вариант sku 12000051526456815.</t>
  </si>
  <si>
    <t xml:space="preserve">Второй лот 1:43 — состав уточнить</t>
  </si>
  <si>
    <t xml:space="preserve">Страница закрыта капчей, в поиске лот не попадался. Нужны варианты и цены: брать только модели, которых нет в строках выше. В твоей ссылке sku 12000051526320648.</t>
  </si>
  <si>
    <t xml:space="preserve">Модели 1:43 — новинки 2026</t>
  </si>
  <si>
    <t xml:space="preserve">Ferrari SF-26</t>
  </si>
  <si>
    <t xml:space="preserve">Новинка сезона 2026. На карточке сайта масштаб 1:43 — в названии.</t>
  </si>
  <si>
    <t xml:space="preserve">Mercedes-AMG W17 E Performance</t>
  </si>
  <si>
    <t xml:space="preserve">Модели 1:24</t>
  </si>
  <si>
    <t xml:space="preserve">Red Bull Racing — Ферстаппен / Перес</t>
  </si>
  <si>
    <t xml:space="preserve">1:24</t>
  </si>
  <si>
    <t xml:space="preserve">Какой болид в лоте (RB19 или RB20) — уточнить по вариантам. Лот Mercedes ниже тоже содержит Red Bull — не дублировать.</t>
  </si>
  <si>
    <t xml:space="preserve">Mercedes W15 — Хэмилтон #44 / Рассел #63</t>
  </si>
  <si>
    <t xml:space="preserve">В лоте есть и другие команды (Red Bull, Ferrari, McLaren). Брать из него только Mercedes W15, чтобы не было повторов.</t>
  </si>
  <si>
    <t xml:space="preserve">Ferrari — серия 2022–2025 (F1-75 / SF-23 / SF-24 / SF-25)</t>
  </si>
  <si>
    <t xml:space="preserve">По названию лота — Ferrari разных лет. Выбрать годы, которых нет в других лотах.</t>
  </si>
  <si>
    <t xml:space="preserve">Третий лот 1:24 — состав уточнить</t>
  </si>
  <si>
    <t xml:space="preserve">Страница закрыта капчей, в поиске лот не попадался. Нужны варианты и цены; брать только до лимита 2 800 ₽ и без повторов.</t>
  </si>
  <si>
    <t xml:space="preserve">Постеры</t>
  </si>
  <si>
    <t xml:space="preserve">Постеры — лот уточнить</t>
  </si>
  <si>
    <t xml:space="preserve">—</t>
  </si>
  <si>
    <t xml:space="preserve">Нужны: тематика, размеры, цена за вариант, есть ли рамка. Постеры с логотипами команд/F1 — только если лицензия.</t>
  </si>
  <si>
    <t xml:space="preserve">Конструкторы — лицензия</t>
  </si>
  <si>
    <t xml:space="preserve">CaDA BWT Alpine A525</t>
  </si>
  <si>
    <t xml:space="preserve">Официальная лицензия Alpine. Цена пересчитана из $ по курсу.</t>
  </si>
  <si>
    <t xml:space="preserve">CaDA Kick Sauber C44</t>
  </si>
  <si>
    <t xml:space="preserve">Официальная лицензия Sauber.</t>
  </si>
  <si>
    <t xml:space="preserve">CaDA Kick Sauber C44 (2 553 детали)</t>
  </si>
  <si>
    <t xml:space="preserve">1:8</t>
  </si>
  <si>
    <t xml:space="preserve">Официальная лицензия Sauber. Проверить, что это набор 1:8 (C64010W).</t>
  </si>
  <si>
    <t xml:space="preserve">Конструкторы — реплика</t>
  </si>
  <si>
    <t xml:space="preserve">Ferrari SF-24 (1 361 деталь)</t>
  </si>
  <si>
    <t xml:space="preserve">Реплика. Лот с вариантами SF-24 / RB20. Запасной продавец: 1 636 ₽, рейтинг 4.7 — aliexpress.us/item/3256812748054401. Взять вариант «с коробкой».</t>
  </si>
  <si>
    <t xml:space="preserve">Red Bull RB20 (1 639 деталей)</t>
  </si>
  <si>
    <t xml:space="preserve">Реплика. Тот же лот, вариант RB20. Взять вариант «с коробкой».</t>
  </si>
  <si>
    <t xml:space="preserve">McLaren MCL39 (1 675 деталей)</t>
  </si>
  <si>
    <t xml:space="preserve">Реплика. В лоте есть и SF-24 / RB20 — брать только MCL39. Цена может быть ниже для MCL39 — сверить.</t>
  </si>
  <si>
    <t xml:space="preserve">Mercedes W14 E (1 642 детали)</t>
  </si>
  <si>
    <t xml:space="preserve">Реплика. Взять вариант «с коробкой».</t>
  </si>
  <si>
    <t xml:space="preserve">Ferrari SF-25 (1 915 деталей, хром)</t>
  </si>
  <si>
    <t xml:space="preserve">Реплика, доработка SF-24 под SF-25. Взять вариант «с коробкой».</t>
  </si>
  <si>
    <t xml:space="preserve">Red Bull RB21 — Mould King MK6025</t>
  </si>
  <si>
    <t xml:space="preserve">Свой дизайн Mould King, фирменная коробка. Запасной продавец: 4 699 ₽ — aliexpress.us/item/3256812310056041.</t>
  </si>
  <si>
    <t xml:space="preserve">Aston Martin AMR25 — Mould King MK6022</t>
  </si>
  <si>
    <t xml:space="preserve">Свой дизайн Mould King, фирменная коробка.</t>
  </si>
  <si>
    <t xml:space="preserve">Итого позиций</t>
  </si>
  <si>
    <t xml:space="preserve">Из них уточнить</t>
  </si>
  <si>
    <t xml:space="preserve">Средняя прибыль с шт., ₽</t>
  </si>
  <si>
    <t xml:space="preserve">Параметры расчёта</t>
  </si>
  <si>
    <t xml:space="preserve">Синие ячейки можно менять — цены и прибыль на листе «Ассортимент»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</si>
  <si>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</si>
  <si>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</si>
  <si>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</si>
  <si>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</si>
  <si>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</si>
  <si>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</si>
  <si>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</si>
  <si>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</si>
  <si>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</si>
  <si>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</si>
  <si>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</si>
  <si>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</si>
  <si>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</si>
  <si>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</si>
  <si>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</si>
  <si>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</si>
  <si>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от владельца магазина: брать 1:24 до 2 800 ₽</t>
  </si>
  <si>
    <t xml:space="preserve">Курс доллара, ₽</t>
  </si>
  <si>
    <t xml:space="preserve">ЦБ РФ на 20.09.2026 — для лотов с aliexpress.com (цены пересчитаны)</t>
  </si>
  <si>
    <t xml:space="preserve">Что нужно, чтобы закрыть жёлтые ячейки</t>
  </si>
  <si>
    <t xml:space="preserve">1005010208755468 (1:43)</t>
  </si>
  <si>
    <t xml:space="preserve">Скриншот блока выбора варианта (все модели) и цены — чтобы исключить повторы с лотом 1005010208916818.</t>
  </si>
  <si>
    <t xml:space="preserve">1005009085028182 (1:24)</t>
  </si>
  <si>
    <t xml:space="preserve">Скриншот блока выбора варианта и цены. Берём только до 2 800 ₽ и без повторов.</t>
  </si>
  <si>
    <t xml:space="preserve">1005005851892159 (постеры)</t>
  </si>
  <si>
    <t xml:space="preserve">Скриншот вариантов: тематика, размеры, цены, есть ли рамка.</t>
  </si>
  <si>
    <t xml:space="preserve">1005010208916818 (1:43)</t>
  </si>
  <si>
    <t xml:space="preserve">Список вариантов: какие пилоты есть у SF25 / RB21 / W16 / MCL39 и цена каждого.</t>
  </si>
  <si>
    <t xml:space="preserve">1005009397158416 (1:24)</t>
  </si>
  <si>
    <t xml:space="preserve">Какой болид Red Bull: RB19 или RB20.</t>
  </si>
  <si>
    <t xml:space="preserve">1005009081001375 (1:24)</t>
  </si>
  <si>
    <t xml:space="preserve">Список вариантов: какие команды, кроме Mercedes W15.</t>
  </si>
  <si>
    <t xml:space="preserve">1005010633502926 (1:24)</t>
  </si>
  <si>
    <t xml:space="preserve">Какие годы Ferrari есть в лоте и цены.</t>
  </si>
  <si>
    <t xml:space="preserve">Реплики</t>
  </si>
  <si>
    <t xml:space="preserve">У каждой — вариант «с коробкой» и его цена; фото коробки в отзывах.</t>
  </si>
  <si>
    <t xml:space="preserve">Почему не заполнено автоматически: страницы лотов на AliExpress закрыты капчей для этого окружения; поиск отдавал только название и цену лота.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</si>
</sst>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#,##0\+"/>
    <numFmt numFmtId="168" formatCode="0.00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3123378832.html" TargetMode="External"/><Relationship Id="rId8" Type="http://schemas.openxmlformats.org/officeDocument/2006/relationships/hyperlink" Target="https://aliexpress.ru/item/1005013034982313.html" TargetMode="External"/><Relationship Id="rId9" Type="http://schemas.openxmlformats.org/officeDocument/2006/relationships/hyperlink" Target="https://aliexpress.ru/item/1005009397158416.html" TargetMode="External"/><Relationship Id="rId10" Type="http://schemas.openxmlformats.org/officeDocument/2006/relationships/hyperlink" Target="https://aliexpress.ru/item/1005009081001375.html" TargetMode="External"/><Relationship Id="rId11" Type="http://schemas.openxmlformats.org/officeDocument/2006/relationships/hyperlink" Target="https://aliexpress.ru/item/1005010633502926.html" TargetMode="External"/><Relationship Id="rId12" Type="http://schemas.openxmlformats.org/officeDocument/2006/relationships/hyperlink" Target="https://aliexpress.ru/item/1005009085028182.html" TargetMode="External"/><Relationship Id="rId13" Type="http://schemas.openxmlformats.org/officeDocument/2006/relationships/hyperlink" Target="https://aliexpress.ru/item/1005005851892159.html" TargetMode="External"/><Relationship Id="rId14" Type="http://schemas.openxmlformats.org/officeDocument/2006/relationships/hyperlink" Target="https://www.aliexpress.us/item/3256811986486740.html" TargetMode="External"/><Relationship Id="rId15" Type="http://schemas.openxmlformats.org/officeDocument/2006/relationships/hyperlink" Target="https://www.aliexpress.us/item/3256807694767657.html" TargetMode="External"/><Relationship Id="rId16" Type="http://schemas.openxmlformats.org/officeDocument/2006/relationships/hyperlink" Target="https://www.aliexpress.us/item/3256808365507427.html" TargetMode="External"/><Relationship Id="rId17" Type="http://schemas.openxmlformats.org/officeDocument/2006/relationships/hyperlink" Target="https://www.aliexpress.us/item/3256812796303924.html" TargetMode="External"/><Relationship Id="rId18" Type="http://schemas.openxmlformats.org/officeDocument/2006/relationships/hyperlink" Target="https://www.aliexpress.us/item/3256812796303924.html" TargetMode="External"/><Relationship Id="rId19" Type="http://schemas.openxmlformats.org/officeDocument/2006/relationships/hyperlink" Target="https://www.aliexpress.us/item/3256811400880844.html" TargetMode="External"/><Relationship Id="rId20" Type="http://schemas.openxmlformats.org/officeDocument/2006/relationships/hyperlink" Target="https://www.aliexpress.us/item/3256812921806170.html" TargetMode="External"/><Relationship Id="rId21" Type="http://schemas.openxmlformats.org/officeDocument/2006/relationships/hyperlink" Target="https://www.aliexpress.us/item/3256812682211506.html" TargetMode="External"/><Relationship Id="rId22" Type="http://schemas.openxmlformats.org/officeDocument/2006/relationships/hyperlink" Target="https://www.aliexpress.us/item/3256812605226634.html" TargetMode="External"/><Relationship Id="rId23" Type="http://schemas.openxmlformats.org/officeDocument/2006/relationships/hyperlink" Target="https://www.aliexpress.us/item/3256812956829803.html" TargetMode="External"/><Relationship Id="rId24" Type="http://schemas.openxmlformats.org/officeDocument/2006/relationships/drawing" Target="../drawings/drawing1.xml"/><Relationship Id="rId2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</row>
    <row r="5" customFormat="false" ht="22.35" hidden="false" customHeight="false" outlineLevel="0" collapsed="false">
      <c r="A5" s="4" t="s">
        <v>15</v>
      </c>
      <c r="B5" s="5" t="s">
        <v>16</v>
      </c>
      <c r="C5" s="6" t="s">
        <v>17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7" t="n">
        <v>1947</v>
      </c>
      <c r="H5" s="9" t="n">
        <v>4.9</v>
      </c>
      <c r="I5" s="10" t="s">
        <v>18</v>
      </c>
      <c r="J5" s="11" t="str">
        <f aca="false">IF(COUNTIFS($B$5:$B$26,B5,$C$5:$C$26,C5)&gt;1,"повтор","")</f>
        <v/>
      </c>
      <c r="K5" s="11" t="str">
        <f aca="false">IF(C5&lt;&gt;"1:24","",IF(D5="","проверить",IF(D5&lt;=Параметры!$B$12,"ок","дороже лимита")))</f>
        <v/>
      </c>
      <c r="L5" s="12" t="s">
        <v>19</v>
      </c>
    </row>
    <row r="6" customFormat="false" ht="15" hidden="false" customHeight="false" outlineLevel="0" collapsed="false">
      <c r="A6" s="4" t="s">
        <v>15</v>
      </c>
      <c r="B6" s="5" t="s">
        <v>20</v>
      </c>
      <c r="C6" s="6" t="s">
        <v>17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7" t="n">
        <v>1947</v>
      </c>
      <c r="H6" s="9" t="n">
        <v>4.9</v>
      </c>
      <c r="I6" s="10" t="s">
        <v>18</v>
      </c>
      <c r="J6" s="11" t="str">
        <f aca="false">IF(COUNTIFS($B$5:$B$26,B6,$C$5:$C$26,C6)&gt;1,"повтор","")</f>
        <v/>
      </c>
      <c r="K6" s="11" t="str">
        <f aca="false">IF(C6&lt;&gt;"1:24","",IF(D6="","проверить",IF(D6&lt;=Параметры!$B$12,"ок","дороже лимита")))</f>
        <v/>
      </c>
      <c r="L6" s="12" t="s">
        <v>21</v>
      </c>
    </row>
    <row r="7" customFormat="false" ht="15" hidden="false" customHeight="false" outlineLevel="0" collapsed="false">
      <c r="A7" s="4" t="s">
        <v>15</v>
      </c>
      <c r="B7" s="5" t="s">
        <v>22</v>
      </c>
      <c r="C7" s="6" t="s">
        <v>17</v>
      </c>
      <c r="D7" s="7" t="n">
        <v>789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1590</v>
      </c>
      <c r="F7" s="8" t="n">
        <f aca="false">IF(D7="","",ROUND(E7*(1-Параметры!$B$9-Параметры!$B$10-Параметры!$B$11)-D7,0))</f>
        <v>570</v>
      </c>
      <c r="G7" s="7" t="n">
        <v>1947</v>
      </c>
      <c r="H7" s="9" t="n">
        <v>4.9</v>
      </c>
      <c r="I7" s="10" t="s">
        <v>18</v>
      </c>
      <c r="J7" s="11" t="str">
        <f aca="false">IF(COUNTIFS($B$5:$B$26,B7,$C$5:$C$26,C7)&gt;1,"повтор","")</f>
        <v/>
      </c>
      <c r="K7" s="11" t="str">
        <f aca="false">IF(C7&lt;&gt;"1:24","",IF(D7="","проверить",IF(D7&lt;=Параметры!$B$12,"ок","дороже лимита")))</f>
        <v/>
      </c>
      <c r="L7" s="12" t="s">
        <v>23</v>
      </c>
    </row>
    <row r="8" customFormat="false" ht="22.35" hidden="false" customHeight="false" outlineLevel="0" collapsed="false">
      <c r="A8" s="4" t="s">
        <v>15</v>
      </c>
      <c r="B8" s="5" t="s">
        <v>24</v>
      </c>
      <c r="C8" s="6" t="s">
        <v>17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7" t="n">
        <v>1947</v>
      </c>
      <c r="H8" s="9" t="n">
        <v>4.9</v>
      </c>
      <c r="I8" s="10" t="s">
        <v>18</v>
      </c>
      <c r="J8" s="11" t="str">
        <f aca="false">IF(COUNTIFS($B$5:$B$26,B8,$C$5:$C$26,C8)&gt;1,"повтор","")</f>
        <v/>
      </c>
      <c r="K8" s="11" t="str">
        <f aca="false">IF(C8&lt;&gt;"1:24","",IF(D8="","проверить",IF(D8&lt;=Параметры!$B$12,"ок","дороже лимита")))</f>
        <v/>
      </c>
      <c r="L8" s="12" t="s">
        <v>25</v>
      </c>
    </row>
    <row r="9" customFormat="false" ht="22.35" hidden="false" customHeight="false" outlineLevel="0" collapsed="false">
      <c r="A9" s="4" t="s">
        <v>15</v>
      </c>
      <c r="B9" s="13" t="s">
        <v>26</v>
      </c>
      <c r="C9" s="6" t="s">
        <v>17</v>
      </c>
      <c r="D9" s="14"/>
      <c r="E9" s="8" t="str">
        <f aca="false">IF(D9="","",IF(D9&lt;Параметры!$B$4,CEILING(D9*Параметры!$B$5,100)-10,IF(D9&lt;=Параметры!$B$6,CEILING(D9*Параметры!$B$7,100)-10,CEILING(D9*Параметры!$B$8,100)-10)))</f>
        <v/>
      </c>
      <c r="F9" s="8" t="str">
        <f aca="false">IF(D9="","",ROUND(E9*(1-Параметры!$B$9-Параметры!$B$10-Параметры!$B$11)-D9,0))</f>
        <v/>
      </c>
      <c r="G9" s="14"/>
      <c r="H9" s="9"/>
      <c r="I9" s="10" t="s">
        <v>18</v>
      </c>
      <c r="J9" s="11" t="str">
        <f aca="false">IF(COUNTIFS($B$5:$B$26,B9,$C$5:$C$26,C9)&gt;1,"повтор","")</f>
        <v/>
      </c>
      <c r="K9" s="11" t="str">
        <f aca="false">IF(C9&lt;&gt;"1:24","",IF(D9="","проверить",IF(D9&lt;=Параметры!$B$12,"ок","дороже лимита")))</f>
        <v/>
      </c>
      <c r="L9" s="12" t="s">
        <v>27</v>
      </c>
    </row>
    <row r="10" customFormat="false" ht="15" hidden="false" customHeight="false" outlineLevel="0" collapsed="false">
      <c r="A10" s="4" t="s">
        <v>28</v>
      </c>
      <c r="B10" s="5" t="s">
        <v>29</v>
      </c>
      <c r="C10" s="6" t="s">
        <v>17</v>
      </c>
      <c r="D10" s="7" t="n">
        <v>1499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2990</v>
      </c>
      <c r="F10" s="8" t="n">
        <f aca="false">IF(D10="","",ROUND(E10*(1-Параметры!$B$9-Параметры!$B$10-Параметры!$B$11)-D10,0))</f>
        <v>1057</v>
      </c>
      <c r="G10" s="7" t="n">
        <v>45</v>
      </c>
      <c r="H10" s="9"/>
      <c r="I10" s="10" t="s">
        <v>18</v>
      </c>
      <c r="J10" s="11" t="str">
        <f aca="false">IF(COUNTIFS($B$5:$B$26,B10,$C$5:$C$26,C10)&gt;1,"повтор","")</f>
        <v/>
      </c>
      <c r="K10" s="11" t="str">
        <f aca="false">IF(C10&lt;&gt;"1:24","",IF(D10="","проверить",IF(D10&lt;=Параметры!$B$12,"ок","дороже лимита")))</f>
        <v/>
      </c>
      <c r="L10" s="12" t="s">
        <v>30</v>
      </c>
    </row>
    <row r="11" customFormat="false" ht="15" hidden="false" customHeight="false" outlineLevel="0" collapsed="false">
      <c r="A11" s="4" t="s">
        <v>28</v>
      </c>
      <c r="B11" s="5" t="s">
        <v>31</v>
      </c>
      <c r="C11" s="6" t="s">
        <v>17</v>
      </c>
      <c r="D11" s="7" t="n">
        <v>1499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2990</v>
      </c>
      <c r="F11" s="8" t="n">
        <f aca="false">IF(D11="","",ROUND(E11*(1-Параметры!$B$9-Параметры!$B$10-Параметры!$B$11)-D11,0))</f>
        <v>1057</v>
      </c>
      <c r="G11" s="7" t="n">
        <v>31</v>
      </c>
      <c r="H11" s="9"/>
      <c r="I11" s="10" t="s">
        <v>18</v>
      </c>
      <c r="J11" s="11" t="str">
        <f aca="false">IF(COUNTIFS($B$5:$B$26,B11,$C$5:$C$26,C11)&gt;1,"повтор","")</f>
        <v/>
      </c>
      <c r="K11" s="11" t="str">
        <f aca="false">IF(C11&lt;&gt;"1:24","",IF(D11="","проверить",IF(D11&lt;=Параметры!$B$12,"ок","дороже лимита")))</f>
        <v/>
      </c>
      <c r="L11" s="12" t="s">
        <v>30</v>
      </c>
    </row>
    <row r="12" customFormat="false" ht="22.35" hidden="false" customHeight="false" outlineLevel="0" collapsed="false">
      <c r="A12" s="4" t="s">
        <v>32</v>
      </c>
      <c r="B12" s="5" t="s">
        <v>33</v>
      </c>
      <c r="C12" s="6" t="s">
        <v>34</v>
      </c>
      <c r="D12" s="7" t="n">
        <v>2589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4190</v>
      </c>
      <c r="F12" s="8" t="n">
        <f aca="false">IF(D12="","",ROUND(E12*(1-Параметры!$B$9-Параметры!$B$10-Параметры!$B$11)-D12,0))</f>
        <v>993</v>
      </c>
      <c r="G12" s="7" t="n">
        <v>653</v>
      </c>
      <c r="H12" s="9" t="n">
        <v>4.9</v>
      </c>
      <c r="I12" s="10" t="s">
        <v>18</v>
      </c>
      <c r="J12" s="11" t="str">
        <f aca="false">IF(COUNTIFS($B$5:$B$26,B12,$C$5:$C$26,C12)&gt;1,"повтор","")</f>
        <v/>
      </c>
      <c r="K12" s="11" t="str">
        <f aca="false">IF(C12&lt;&gt;"1:24","",IF(D12="","проверить",IF(D12&lt;=Параметры!$B$12,"ок","дороже лимита")))</f>
        <v>ок</v>
      </c>
      <c r="L12" s="12" t="s">
        <v>35</v>
      </c>
    </row>
    <row r="13" customFormat="false" ht="22.35" hidden="false" customHeight="false" outlineLevel="0" collapsed="false">
      <c r="A13" s="4" t="s">
        <v>32</v>
      </c>
      <c r="B13" s="5" t="s">
        <v>36</v>
      </c>
      <c r="C13" s="6" t="s">
        <v>34</v>
      </c>
      <c r="D13" s="7" t="n">
        <v>2442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3990</v>
      </c>
      <c r="F13" s="8" t="n">
        <f aca="false">IF(D13="","",ROUND(E13*(1-Параметры!$B$9-Параметры!$B$10-Параметры!$B$11)-D13,0))</f>
        <v>969</v>
      </c>
      <c r="G13" s="7" t="n">
        <v>651</v>
      </c>
      <c r="H13" s="9" t="n">
        <v>4.9</v>
      </c>
      <c r="I13" s="10" t="s">
        <v>18</v>
      </c>
      <c r="J13" s="11" t="str">
        <f aca="false">IF(COUNTIFS($B$5:$B$26,B13,$C$5:$C$26,C13)&gt;1,"повтор","")</f>
        <v/>
      </c>
      <c r="K13" s="11" t="str">
        <f aca="false">IF(C13&lt;&gt;"1:24","",IF(D13="","проверить",IF(D13&lt;=Параметры!$B$12,"ок","дороже лимита")))</f>
        <v>ок</v>
      </c>
      <c r="L13" s="12" t="s">
        <v>37</v>
      </c>
    </row>
    <row r="14" customFormat="false" ht="15" hidden="false" customHeight="false" outlineLevel="0" collapsed="false">
      <c r="A14" s="4" t="s">
        <v>32</v>
      </c>
      <c r="B14" s="5" t="s">
        <v>38</v>
      </c>
      <c r="C14" s="6" t="s">
        <v>34</v>
      </c>
      <c r="D14" s="7" t="n">
        <v>2359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3790</v>
      </c>
      <c r="F14" s="8" t="n">
        <f aca="false">IF(D14="","",ROUND(E14*(1-Параметры!$B$9-Параметры!$B$10-Параметры!$B$11)-D14,0))</f>
        <v>881</v>
      </c>
      <c r="G14" s="7" t="n">
        <v>78</v>
      </c>
      <c r="H14" s="9" t="n">
        <v>4.9</v>
      </c>
      <c r="I14" s="10" t="s">
        <v>18</v>
      </c>
      <c r="J14" s="11" t="str">
        <f aca="false">IF(COUNTIFS($B$5:$B$26,B14,$C$5:$C$26,C14)&gt;1,"повтор","")</f>
        <v/>
      </c>
      <c r="K14" s="11" t="str">
        <f aca="false">IF(C14&lt;&gt;"1:24","",IF(D14="","проверить",IF(D14&lt;=Параметры!$B$12,"ок","дороже лимита")))</f>
        <v>ок</v>
      </c>
      <c r="L14" s="12" t="s">
        <v>39</v>
      </c>
    </row>
    <row r="15" customFormat="false" ht="22.35" hidden="false" customHeight="false" outlineLevel="0" collapsed="false">
      <c r="A15" s="4" t="s">
        <v>32</v>
      </c>
      <c r="B15" s="13" t="s">
        <v>40</v>
      </c>
      <c r="C15" s="6" t="s">
        <v>34</v>
      </c>
      <c r="D15" s="14"/>
      <c r="E15" s="8" t="str">
        <f aca="false">IF(D15="","",IF(D15&lt;Параметры!$B$4,CEILING(D15*Параметры!$B$5,100)-10,IF(D15&lt;=Параметры!$B$6,CEILING(D15*Параметры!$B$7,100)-10,CEILING(D15*Параметры!$B$8,100)-10)))</f>
        <v/>
      </c>
      <c r="F15" s="8" t="str">
        <f aca="false">IF(D15="","",ROUND(E15*(1-Параметры!$B$9-Параметры!$B$10-Параметры!$B$11)-D15,0))</f>
        <v/>
      </c>
      <c r="G15" s="14"/>
      <c r="H15" s="9"/>
      <c r="I15" s="10" t="s">
        <v>18</v>
      </c>
      <c r="J15" s="11" t="str">
        <f aca="false">IF(COUNTIFS($B$5:$B$26,B15,$C$5:$C$26,C15)&gt;1,"повтор","")</f>
        <v/>
      </c>
      <c r="K15" s="11" t="str">
        <f aca="false">IF(C15&lt;&gt;"1:24","",IF(D15="","проверить",IF(D15&lt;=Параметры!$B$12,"ок","дороже лимита")))</f>
        <v>проверить</v>
      </c>
      <c r="L15" s="12" t="s">
        <v>41</v>
      </c>
    </row>
    <row r="16" customFormat="false" ht="22.35" hidden="false" customHeight="false" outlineLevel="0" collapsed="false">
      <c r="A16" s="4" t="s">
        <v>42</v>
      </c>
      <c r="B16" s="13" t="s">
        <v>43</v>
      </c>
      <c r="C16" s="6" t="s">
        <v>44</v>
      </c>
      <c r="D16" s="14"/>
      <c r="E16" s="8" t="str">
        <f aca="false">IF(D16="","",IF(D16&lt;Параметры!$B$4,CEILING(D16*Параметры!$B$5,100)-10,IF(D16&lt;=Параметры!$B$6,CEILING(D16*Параметры!$B$7,100)-10,CEILING(D16*Параметры!$B$8,100)-10)))</f>
        <v/>
      </c>
      <c r="F16" s="8" t="str">
        <f aca="false">IF(D16="","",ROUND(E16*(1-Параметры!$B$9-Параметры!$B$10-Параметры!$B$11)-D16,0))</f>
        <v/>
      </c>
      <c r="G16" s="14"/>
      <c r="H16" s="9"/>
      <c r="I16" s="10" t="s">
        <v>18</v>
      </c>
      <c r="J16" s="11" t="str">
        <f aca="false">IF(COUNTIFS($B$5:$B$26,B16,$C$5:$C$26,C16)&gt;1,"повтор","")</f>
        <v/>
      </c>
      <c r="K16" s="11" t="str">
        <f aca="false">IF(C16&lt;&gt;"1:24","",IF(D16="","проверить",IF(D16&lt;=Параметры!$B$12,"ок","дороже лимита")))</f>
        <v/>
      </c>
      <c r="L16" s="12" t="s">
        <v>45</v>
      </c>
    </row>
    <row r="17" customFormat="false" ht="15" hidden="false" customHeight="false" outlineLevel="0" collapsed="false">
      <c r="A17" s="4" t="s">
        <v>46</v>
      </c>
      <c r="B17" s="5" t="s">
        <v>47</v>
      </c>
      <c r="C17" s="6" t="s">
        <v>34</v>
      </c>
      <c r="D17" s="7" t="n">
        <v>1588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2590</v>
      </c>
      <c r="F17" s="8" t="n">
        <f aca="false">IF(D17="","",ROUND(E17*(1-Параметры!$B$9-Параметры!$B$10-Параметры!$B$11)-D17,0))</f>
        <v>626</v>
      </c>
      <c r="G17" s="7" t="n">
        <v>268</v>
      </c>
      <c r="H17" s="9" t="n">
        <v>4.9</v>
      </c>
      <c r="I17" s="10" t="s">
        <v>18</v>
      </c>
      <c r="J17" s="11" t="str">
        <f aca="false">IF(COUNTIFS($B$5:$B$26,B17,$C$5:$C$26,C17)&gt;1,"повтор","")</f>
        <v/>
      </c>
      <c r="K17" s="11" t="str">
        <f aca="false">IF(C17&lt;&gt;"1:24","",IF(D17="","проверить",IF(D17&lt;=Параметры!$B$12,"ок","дороже лимита")))</f>
        <v>ок</v>
      </c>
      <c r="L17" s="12" t="s">
        <v>48</v>
      </c>
    </row>
    <row r="18" customFormat="false" ht="15" hidden="false" customHeight="false" outlineLevel="0" collapsed="false">
      <c r="A18" s="4" t="s">
        <v>46</v>
      </c>
      <c r="B18" s="5" t="s">
        <v>49</v>
      </c>
      <c r="C18" s="6" t="s">
        <v>34</v>
      </c>
      <c r="D18" s="7" t="n">
        <v>1822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2990</v>
      </c>
      <c r="F18" s="8" t="n">
        <f aca="false">IF(D18="","",ROUND(E18*(1-Параметры!$B$9-Параметры!$B$10-Параметры!$B$11)-D18,0))</f>
        <v>734</v>
      </c>
      <c r="G18" s="7" t="n">
        <v>340</v>
      </c>
      <c r="H18" s="9" t="n">
        <v>4.7</v>
      </c>
      <c r="I18" s="10" t="s">
        <v>18</v>
      </c>
      <c r="J18" s="11" t="str">
        <f aca="false">IF(COUNTIFS($B$5:$B$26,B18,$C$5:$C$26,C18)&gt;1,"повтор","")</f>
        <v/>
      </c>
      <c r="K18" s="11" t="str">
        <f aca="false">IF(C18&lt;&gt;"1:24","",IF(D18="","проверить",IF(D18&lt;=Параметры!$B$12,"ок","дороже лимита")))</f>
        <v>ок</v>
      </c>
      <c r="L18" s="12" t="s">
        <v>50</v>
      </c>
    </row>
    <row r="19" customFormat="false" ht="15" hidden="false" customHeight="false" outlineLevel="0" collapsed="false">
      <c r="A19" s="4" t="s">
        <v>46</v>
      </c>
      <c r="B19" s="5" t="s">
        <v>51</v>
      </c>
      <c r="C19" s="6" t="s">
        <v>52</v>
      </c>
      <c r="D19" s="7" t="n">
        <v>10614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14390</v>
      </c>
      <c r="F19" s="8" t="n">
        <f aca="false">IF(D19="","",ROUND(E19*(1-Параметры!$B$9-Параметры!$B$10-Параметры!$B$11)-D19,0))</f>
        <v>1689</v>
      </c>
      <c r="G19" s="7" t="n">
        <v>494</v>
      </c>
      <c r="H19" s="9" t="n">
        <v>4.5</v>
      </c>
      <c r="I19" s="10" t="s">
        <v>18</v>
      </c>
      <c r="J19" s="11" t="str">
        <f aca="false">IF(COUNTIFS($B$5:$B$26,B19,$C$5:$C$26,C19)&gt;1,"повтор","")</f>
        <v/>
      </c>
      <c r="K19" s="11" t="str">
        <f aca="false">IF(C19&lt;&gt;"1:24","",IF(D19="","проверить",IF(D19&lt;=Параметры!$B$12,"ок","дороже лимита")))</f>
        <v/>
      </c>
      <c r="L19" s="12" t="s">
        <v>53</v>
      </c>
    </row>
    <row r="20" customFormat="false" ht="22.35" hidden="false" customHeight="false" outlineLevel="0" collapsed="false">
      <c r="A20" s="4" t="s">
        <v>54</v>
      </c>
      <c r="B20" s="5" t="s">
        <v>55</v>
      </c>
      <c r="C20" s="6" t="s">
        <v>52</v>
      </c>
      <c r="D20" s="7" t="n">
        <v>1747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2790</v>
      </c>
      <c r="F20" s="8" t="n">
        <f aca="false">IF(D20="","",ROUND(E20*(1-Параметры!$B$9-Параметры!$B$10-Параметры!$B$11)-D20,0))</f>
        <v>638</v>
      </c>
      <c r="G20" s="15" t="n">
        <v>1000</v>
      </c>
      <c r="H20" s="9" t="n">
        <v>4.9</v>
      </c>
      <c r="I20" s="10" t="s">
        <v>18</v>
      </c>
      <c r="J20" s="11" t="str">
        <f aca="false">IF(COUNTIFS($B$5:$B$26,B20,$C$5:$C$26,C20)&gt;1,"повтор","")</f>
        <v/>
      </c>
      <c r="K20" s="11" t="str">
        <f aca="false">IF(C20&lt;&gt;"1:24","",IF(D20="","проверить",IF(D20&lt;=Параметры!$B$12,"ок","дороже лимита")))</f>
        <v/>
      </c>
      <c r="L20" s="12" t="s">
        <v>56</v>
      </c>
    </row>
    <row r="21" customFormat="false" ht="15" hidden="false" customHeight="false" outlineLevel="0" collapsed="false">
      <c r="A21" s="4" t="s">
        <v>54</v>
      </c>
      <c r="B21" s="5" t="s">
        <v>57</v>
      </c>
      <c r="C21" s="6" t="s">
        <v>52</v>
      </c>
      <c r="D21" s="7" t="n">
        <v>1747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2790</v>
      </c>
      <c r="F21" s="8" t="n">
        <f aca="false">IF(D21="","",ROUND(E21*(1-Параметры!$B$9-Параметры!$B$10-Параметры!$B$11)-D21,0))</f>
        <v>638</v>
      </c>
      <c r="G21" s="15" t="n">
        <v>1000</v>
      </c>
      <c r="H21" s="9" t="n">
        <v>4.9</v>
      </c>
      <c r="I21" s="10" t="s">
        <v>18</v>
      </c>
      <c r="J21" s="11" t="str">
        <f aca="false">IF(COUNTIFS($B$5:$B$26,B21,$C$5:$C$26,C21)&gt;1,"повтор","")</f>
        <v/>
      </c>
      <c r="K21" s="11" t="str">
        <f aca="false">IF(C21&lt;&gt;"1:24","",IF(D21="","проверить",IF(D21&lt;=Параметры!$B$12,"ок","дороже лимита")))</f>
        <v/>
      </c>
      <c r="L21" s="12" t="s">
        <v>58</v>
      </c>
    </row>
    <row r="22" customFormat="false" ht="15" hidden="false" customHeight="false" outlineLevel="0" collapsed="false">
      <c r="A22" s="4" t="s">
        <v>54</v>
      </c>
      <c r="B22" s="5" t="s">
        <v>59</v>
      </c>
      <c r="C22" s="6" t="s">
        <v>52</v>
      </c>
      <c r="D22" s="7" t="n">
        <v>3563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5790</v>
      </c>
      <c r="F22" s="8" t="n">
        <f aca="false">IF(D22="","",ROUND(E22*(1-Параметры!$B$9-Параметры!$B$10-Параметры!$B$11)-D22,0))</f>
        <v>1387</v>
      </c>
      <c r="G22" s="7" t="n">
        <v>600</v>
      </c>
      <c r="H22" s="9" t="n">
        <v>4.9</v>
      </c>
      <c r="I22" s="10" t="s">
        <v>18</v>
      </c>
      <c r="J22" s="11" t="str">
        <f aca="false">IF(COUNTIFS($B$5:$B$26,B22,$C$5:$C$26,C22)&gt;1,"повтор","")</f>
        <v/>
      </c>
      <c r="K22" s="11" t="str">
        <f aca="false">IF(C22&lt;&gt;"1:24","",IF(D22="","проверить",IF(D22&lt;=Параметры!$B$12,"ок","дороже лимита")))</f>
        <v/>
      </c>
      <c r="L22" s="12" t="s">
        <v>60</v>
      </c>
    </row>
    <row r="23" customFormat="false" ht="15" hidden="false" customHeight="false" outlineLevel="0" collapsed="false">
      <c r="A23" s="4" t="s">
        <v>54</v>
      </c>
      <c r="B23" s="5" t="s">
        <v>61</v>
      </c>
      <c r="C23" s="6" t="s">
        <v>52</v>
      </c>
      <c r="D23" s="7" t="n">
        <v>1423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2890</v>
      </c>
      <c r="F23" s="8" t="n">
        <f aca="false">IF(D23="","",ROUND(E23*(1-Параметры!$B$9-Параметры!$B$10-Параметры!$B$11)-D23,0))</f>
        <v>1048</v>
      </c>
      <c r="G23" s="7" t="n">
        <v>700</v>
      </c>
      <c r="H23" s="9"/>
      <c r="I23" s="10" t="s">
        <v>18</v>
      </c>
      <c r="J23" s="11" t="str">
        <f aca="false">IF(COUNTIFS($B$5:$B$26,B23,$C$5:$C$26,C23)&gt;1,"повтор","")</f>
        <v/>
      </c>
      <c r="K23" s="11" t="str">
        <f aca="false">IF(C23&lt;&gt;"1:24","",IF(D23="","проверить",IF(D23&lt;=Параметры!$B$12,"ок","дороже лимита")))</f>
        <v/>
      </c>
      <c r="L23" s="12" t="s">
        <v>62</v>
      </c>
    </row>
    <row r="24" customFormat="false" ht="15" hidden="false" customHeight="false" outlineLevel="0" collapsed="false">
      <c r="A24" s="4" t="s">
        <v>54</v>
      </c>
      <c r="B24" s="5" t="s">
        <v>63</v>
      </c>
      <c r="C24" s="6" t="s">
        <v>52</v>
      </c>
      <c r="D24" s="7" t="n">
        <v>2180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3490</v>
      </c>
      <c r="F24" s="8" t="n">
        <f aca="false">IF(D24="","",ROUND(E24*(1-Параметры!$B$9-Параметры!$B$10-Параметры!$B$11)-D24,0))</f>
        <v>804</v>
      </c>
      <c r="G24" s="7" t="n">
        <v>446</v>
      </c>
      <c r="H24" s="9" t="n">
        <v>4.6</v>
      </c>
      <c r="I24" s="10" t="s">
        <v>18</v>
      </c>
      <c r="J24" s="11" t="str">
        <f aca="false">IF(COUNTIFS($B$5:$B$26,B24,$C$5:$C$26,C24)&gt;1,"повтор","")</f>
        <v/>
      </c>
      <c r="K24" s="11" t="str">
        <f aca="false">IF(C24&lt;&gt;"1:24","",IF(D24="","проверить",IF(D24&lt;=Параметры!$B$12,"ок","дороже лимита")))</f>
        <v/>
      </c>
      <c r="L24" s="12" t="s">
        <v>64</v>
      </c>
    </row>
    <row r="25" customFormat="false" ht="22.35" hidden="false" customHeight="false" outlineLevel="0" collapsed="false">
      <c r="A25" s="4" t="s">
        <v>54</v>
      </c>
      <c r="B25" s="5" t="s">
        <v>65</v>
      </c>
      <c r="C25" s="6" t="s">
        <v>52</v>
      </c>
      <c r="D25" s="7" t="n">
        <v>2006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3290</v>
      </c>
      <c r="F25" s="8" t="n">
        <f aca="false">IF(D25="","",ROUND(E25*(1-Параметры!$B$9-Параметры!$B$10-Параметры!$B$11)-D25,0))</f>
        <v>807</v>
      </c>
      <c r="G25" s="15" t="n">
        <v>1000</v>
      </c>
      <c r="H25" s="9" t="n">
        <v>4.8</v>
      </c>
      <c r="I25" s="10" t="s">
        <v>18</v>
      </c>
      <c r="J25" s="11" t="str">
        <f aca="false">IF(COUNTIFS($B$5:$B$26,B25,$C$5:$C$26,C25)&gt;1,"повтор","")</f>
        <v/>
      </c>
      <c r="K25" s="11" t="str">
        <f aca="false">IF(C25&lt;&gt;"1:24","",IF(D25="","проверить",IF(D25&lt;=Параметры!$B$12,"ок","дороже лимита")))</f>
        <v/>
      </c>
      <c r="L25" s="12" t="s">
        <v>66</v>
      </c>
    </row>
    <row r="26" customFormat="false" ht="15" hidden="false" customHeight="false" outlineLevel="0" collapsed="false">
      <c r="A26" s="4" t="s">
        <v>54</v>
      </c>
      <c r="B26" s="5" t="s">
        <v>67</v>
      </c>
      <c r="C26" s="6" t="s">
        <v>52</v>
      </c>
      <c r="D26" s="7" t="n">
        <v>1904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3090</v>
      </c>
      <c r="F26" s="8" t="n">
        <f aca="false">IF(D26="","",ROUND(E26*(1-Параметры!$B$9-Параметры!$B$10-Параметры!$B$11)-D26,0))</f>
        <v>738</v>
      </c>
      <c r="G26" s="7" t="n">
        <v>116</v>
      </c>
      <c r="H26" s="9"/>
      <c r="I26" s="10" t="s">
        <v>18</v>
      </c>
      <c r="J26" s="11" t="str">
        <f aca="false">IF(COUNTIFS($B$5:$B$26,B26,$C$5:$C$26,C26)&gt;1,"повтор","")</f>
        <v/>
      </c>
      <c r="K26" s="11" t="str">
        <f aca="false">IF(C26&lt;&gt;"1:24","",IF(D26="","проверить",IF(D26&lt;=Параметры!$B$12,"ок","дороже лимита")))</f>
        <v/>
      </c>
      <c r="L26" s="12" t="s">
        <v>68</v>
      </c>
    </row>
    <row r="28" customFormat="false" ht="15" hidden="false" customHeight="false" outlineLevel="0" collapsed="false">
      <c r="A28" s="16" t="s">
        <v>69</v>
      </c>
      <c r="B28" s="16" t="n">
        <f aca="false">COUNTA(B5:B26)</f>
        <v>22</v>
      </c>
    </row>
    <row r="29" customFormat="false" ht="15" hidden="false" customHeight="false" outlineLevel="0" collapsed="false">
      <c r="A29" s="16" t="s">
        <v>70</v>
      </c>
      <c r="B29" s="16" t="n">
        <f aca="false">COUNTBLANK(D5:D26)</f>
        <v>3</v>
      </c>
    </row>
    <row r="30" customFormat="false" ht="15" hidden="false" customHeight="false" outlineLevel="0" collapsed="false">
      <c r="A30" s="16" t="s">
        <v>71</v>
      </c>
      <c r="B30" s="17" t="n">
        <f aca="false">IFERROR(AVERAGE(F5:F26),"")</f>
        <v>860.315789473684</v>
      </c>
    </row>
  </sheetData>
  <autoFilter ref="A4:L26"/>
  <hyperlinks>
    <hyperlink ref="I5" r:id="rId2" display="открыть"/>
    <hyperlink ref="I6" r:id="rId3" display="открыть"/>
    <hyperlink ref="I7" r:id="rId4" display="открыть"/>
    <hyperlink ref="I8" r:id="rId5" display="открыть"/>
    <hyperlink ref="I9" r:id="rId6" display="открыть"/>
    <hyperlink ref="I10" r:id="rId7" display="открыть"/>
    <hyperlink ref="I11" r:id="rId8" display="открыть"/>
    <hyperlink ref="I12" r:id="rId9" display="открыть"/>
    <hyperlink ref="I13" r:id="rId10" display="открыть"/>
    <hyperlink ref="I14" r:id="rId11" display="открыть"/>
    <hyperlink ref="I15" r:id="rId12" display="открыть"/>
    <hyperlink ref="I16" r:id="rId13" display="открыть"/>
    <hyperlink ref="I17" r:id="rId14" display="открыть"/>
    <hyperlink ref="I18" r:id="rId15" display="открыть"/>
    <hyperlink ref="I19" r:id="rId16" display="открыть"/>
    <hyperlink ref="I20" r:id="rId17" display="открыть"/>
    <hyperlink ref="I21" r:id="rId18" display="открыть"/>
    <hyperlink ref="I22" r:id="rId19" display="открыть"/>
    <hyperlink ref="I23" r:id="rId20" display="открыть"/>
    <hyperlink ref="I24" r:id="rId21" display="открыть"/>
    <hyperlink ref="I25" r:id="rId22" display="открыть"/>
    <hyperlink ref="I26" r:id="rId23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  <legacyDrawing r:id="rId2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4" customFormat="false" ht="15" hidden="false" customHeight="false" outlineLevel="0" collapsed="false">
      <c r="A4" s="18" t="s">
        <v>74</v>
      </c>
      <c r="B4" s="19" t="n">
        <v>1500</v>
      </c>
      <c r="C4" s="2" t="s">
        <v>75</v>
      </c>
    </row>
    <row r="5" customFormat="false" ht="15" hidden="false" customHeight="false" outlineLevel="0" collapsed="false">
      <c r="A5" s="18" t="s">
        <v>76</v>
      </c>
      <c r="B5" s="20" t="n">
        <v>2</v>
      </c>
      <c r="C5" s="2" t="s">
        <v>77</v>
      </c>
    </row>
    <row r="6" customFormat="false" ht="15" hidden="false" customHeight="false" outlineLevel="0" collapsed="false">
      <c r="A6" s="18" t="s">
        <v>78</v>
      </c>
      <c r="B6" s="19" t="n">
        <v>7000</v>
      </c>
      <c r="C6" s="2"/>
    </row>
    <row r="7" customFormat="false" ht="15" hidden="false" customHeight="false" outlineLevel="0" collapsed="false">
      <c r="A7" s="18" t="s">
        <v>79</v>
      </c>
      <c r="B7" s="20" t="n">
        <v>1.6</v>
      </c>
      <c r="C7" s="2" t="s">
        <v>80</v>
      </c>
    </row>
    <row r="8" customFormat="false" ht="15" hidden="false" customHeight="false" outlineLevel="0" collapsed="false">
      <c r="A8" s="18" t="s">
        <v>81</v>
      </c>
      <c r="B8" s="20" t="n">
        <v>1.35</v>
      </c>
      <c r="C8" s="2" t="s">
        <v>82</v>
      </c>
    </row>
    <row r="9" customFormat="false" ht="15" hidden="false" customHeight="false" outlineLevel="0" collapsed="false">
      <c r="A9" s="18" t="s">
        <v>83</v>
      </c>
      <c r="B9" s="21" t="n">
        <v>0.035</v>
      </c>
      <c r="C9" s="2" t="s">
        <v>84</v>
      </c>
    </row>
    <row r="10" customFormat="false" ht="15" hidden="false" customHeight="false" outlineLevel="0" collapsed="false">
      <c r="A10" s="18" t="s">
        <v>85</v>
      </c>
      <c r="B10" s="21" t="n">
        <v>0.06</v>
      </c>
      <c r="C10" s="2" t="s">
        <v>86</v>
      </c>
    </row>
    <row r="11" customFormat="false" ht="15" hidden="false" customHeight="false" outlineLevel="0" collapsed="false">
      <c r="A11" s="18" t="s">
        <v>87</v>
      </c>
      <c r="B11" s="21" t="n">
        <v>0.05</v>
      </c>
      <c r="C11" s="2" t="s">
        <v>88</v>
      </c>
    </row>
    <row r="12" customFormat="false" ht="15" hidden="false" customHeight="false" outlineLevel="0" collapsed="false">
      <c r="A12" s="18" t="s">
        <v>89</v>
      </c>
      <c r="B12" s="19" t="n">
        <v>2800</v>
      </c>
      <c r="C12" s="2" t="s">
        <v>90</v>
      </c>
    </row>
    <row r="13" customFormat="false" ht="15" hidden="false" customHeight="false" outlineLevel="0" collapsed="false">
      <c r="A13" s="18" t="s">
        <v>91</v>
      </c>
      <c r="B13" s="20" t="n">
        <v>84.2</v>
      </c>
      <c r="C13" s="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93</v>
      </c>
    </row>
    <row r="3" customFormat="false" ht="15" hidden="false" customHeight="false" outlineLevel="0" collapsed="false">
      <c r="A3" s="16" t="s">
        <v>94</v>
      </c>
      <c r="B3" s="22" t="s">
        <v>95</v>
      </c>
    </row>
    <row r="4" customFormat="false" ht="15" hidden="false" customHeight="false" outlineLevel="0" collapsed="false">
      <c r="A4" s="16" t="s">
        <v>96</v>
      </c>
      <c r="B4" s="22" t="s">
        <v>97</v>
      </c>
    </row>
    <row r="5" customFormat="false" ht="15" hidden="false" customHeight="false" outlineLevel="0" collapsed="false">
      <c r="A5" s="16" t="s">
        <v>98</v>
      </c>
      <c r="B5" s="22" t="s">
        <v>99</v>
      </c>
    </row>
    <row r="6" customFormat="false" ht="15" hidden="false" customHeight="false" outlineLevel="0" collapsed="false">
      <c r="A6" s="16" t="s">
        <v>100</v>
      </c>
      <c r="B6" s="22" t="s">
        <v>101</v>
      </c>
    </row>
    <row r="7" customFormat="false" ht="15" hidden="false" customHeight="false" outlineLevel="0" collapsed="false">
      <c r="A7" s="16" t="s">
        <v>102</v>
      </c>
      <c r="B7" s="22" t="s">
        <v>103</v>
      </c>
    </row>
    <row r="8" customFormat="false" ht="15" hidden="false" customHeight="false" outlineLevel="0" collapsed="false">
      <c r="A8" s="16" t="s">
        <v>104</v>
      </c>
      <c r="B8" s="22" t="s">
        <v>105</v>
      </c>
    </row>
    <row r="9" customFormat="false" ht="15" hidden="false" customHeight="false" outlineLevel="0" collapsed="false">
      <c r="A9" s="16" t="s">
        <v>106</v>
      </c>
      <c r="B9" s="22" t="s">
        <v>107</v>
      </c>
    </row>
    <row r="10" customFormat="false" ht="15" hidden="false" customHeight="false" outlineLevel="0" collapsed="false">
      <c r="A10" s="16" t="s">
        <v>108</v>
      </c>
      <c r="B10" s="22" t="s">
        <v>109</v>
      </c>
    </row>
    <row r="12" customFormat="false" ht="15" hidden="false" customHeight="false" outlineLevel="0" collapsed="false">
      <c r="A12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2026-09-25T08:25:58Z</dcterms:created>
  <dc:creator>openpyxl</dc:creator>
  <dc:description/>
  <dc:language>en-US</dc:language>
  <cp:lastModifiedBy/>
  <dcterms:modified xsi:type="dcterms:W3CDTF">2026-09-25T08:25:58Z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